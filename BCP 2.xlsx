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31C4D8A0CA66A92F/Documents/Downloads/"/>
    </mc:Choice>
  </mc:AlternateContent>
  <xr:revisionPtr revIDLastSave="1673" documentId="8_{B1BB7FED-61AC-451C-B4D8-BA475F852DB0}" xr6:coauthVersionLast="47" xr6:coauthVersionMax="47" xr10:uidLastSave="{A37C92B2-9588-4026-AE43-625D92C88867}"/>
  <bookViews>
    <workbookView xWindow="-110" yWindow="-110" windowWidth="19420" windowHeight="11020" firstSheet="2" activeTab="2" xr2:uid="{1C78B39E-28A6-460A-8185-CCEA8AE61E40}"/>
  </bookViews>
  <sheets>
    <sheet name="Rawdata" sheetId="1" r:id="rId1"/>
    <sheet name="workedsheet" sheetId="2" r:id="rId2"/>
    <sheet name="DASHBOARD" sheetId="11" r:id="rId3"/>
    <sheet name="Chart1" sheetId="3" r:id="rId4"/>
    <sheet name="Chart2" sheetId="4" r:id="rId5"/>
    <sheet name="Chart3" sheetId="6" r:id="rId6"/>
    <sheet name="Chart4" sheetId="7" r:id="rId7"/>
    <sheet name="Chart6" sheetId="9" r:id="rId8"/>
    <sheet name="Chart5" sheetId="8" r:id="rId9"/>
    <sheet name="Chart7" sheetId="10" r:id="rId10"/>
    <sheet name="BOARDREVIEW" sheetId="12" r:id="rId11"/>
  </sheets>
  <definedNames>
    <definedName name="_xlcn.WorksheetConnection_workedsheetA1T4351" hidden="1">workedsheet!$A$1:$T$435</definedName>
    <definedName name="customers">workedsheet!$W$6</definedName>
    <definedName name="order">workedsheet!$W$6</definedName>
    <definedName name="productcount">workedsheet!$W$7</definedName>
    <definedName name="qty">workedsheet!$W$6</definedName>
    <definedName name="qtysold">workedsheet!$W$5</definedName>
    <definedName name="sales">workedsheet!$W$4</definedName>
    <definedName name="Slicer_Category">#N/A</definedName>
    <definedName name="Slicer_Months">#N/A</definedName>
    <definedName name="Slicer_Order_Channel">#N/A</definedName>
    <definedName name="Slicer_Producer">#N/A</definedName>
    <definedName name="Slicer_Product">#N/A</definedName>
  </definedNames>
  <calcPr calcId="191029"/>
  <pivotCaches>
    <pivotCache cacheId="0" r:id="rId12"/>
    <pivotCache cacheId="1" r:id="rId13"/>
    <pivotCache cacheId="2" r:id="rId14"/>
    <pivotCache cacheId="3"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edsheet!$A$1:$T$43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4" i="2" l="1"/>
  <c r="O435" i="2"/>
  <c r="E435" i="2"/>
  <c r="D435" i="2"/>
  <c r="C435" i="2"/>
  <c r="B435" i="2"/>
  <c r="O434" i="2"/>
  <c r="E434" i="2"/>
  <c r="D434" i="2"/>
  <c r="C434" i="2"/>
  <c r="B434" i="2"/>
  <c r="O433" i="2"/>
  <c r="E433" i="2"/>
  <c r="D433" i="2"/>
  <c r="C433" i="2"/>
  <c r="B433" i="2"/>
  <c r="O432" i="2"/>
  <c r="E432" i="2"/>
  <c r="D432" i="2"/>
  <c r="C432" i="2"/>
  <c r="B432" i="2"/>
  <c r="O431" i="2"/>
  <c r="E431" i="2"/>
  <c r="D431" i="2"/>
  <c r="C431" i="2"/>
  <c r="B431" i="2"/>
  <c r="O430" i="2"/>
  <c r="E430" i="2"/>
  <c r="D430" i="2"/>
  <c r="C430" i="2"/>
  <c r="B430" i="2"/>
  <c r="O429" i="2"/>
  <c r="E429" i="2"/>
  <c r="D429" i="2"/>
  <c r="C429" i="2"/>
  <c r="B429" i="2"/>
  <c r="O428" i="2"/>
  <c r="E428" i="2"/>
  <c r="D428" i="2"/>
  <c r="C428" i="2"/>
  <c r="B428" i="2"/>
  <c r="O427" i="2"/>
  <c r="E427" i="2"/>
  <c r="D427" i="2"/>
  <c r="C427" i="2"/>
  <c r="B427" i="2"/>
  <c r="O426" i="2"/>
  <c r="E426" i="2"/>
  <c r="D426" i="2"/>
  <c r="C426" i="2"/>
  <c r="B426" i="2"/>
  <c r="O425" i="2"/>
  <c r="E425" i="2"/>
  <c r="D425" i="2"/>
  <c r="C425" i="2"/>
  <c r="B425" i="2"/>
  <c r="O424" i="2"/>
  <c r="E424" i="2"/>
  <c r="D424" i="2"/>
  <c r="C424" i="2"/>
  <c r="B424" i="2"/>
  <c r="O423" i="2"/>
  <c r="E423" i="2"/>
  <c r="D423" i="2"/>
  <c r="C423" i="2"/>
  <c r="B423" i="2"/>
  <c r="O422" i="2"/>
  <c r="E422" i="2"/>
  <c r="D422" i="2"/>
  <c r="C422" i="2"/>
  <c r="B422" i="2"/>
  <c r="O421" i="2"/>
  <c r="E421" i="2"/>
  <c r="D421" i="2"/>
  <c r="C421" i="2"/>
  <c r="B421" i="2"/>
  <c r="O420" i="2"/>
  <c r="E420" i="2"/>
  <c r="D420" i="2"/>
  <c r="C420" i="2"/>
  <c r="B420" i="2"/>
  <c r="O419" i="2"/>
  <c r="E419" i="2"/>
  <c r="D419" i="2"/>
  <c r="C419" i="2"/>
  <c r="B419" i="2"/>
  <c r="O418" i="2"/>
  <c r="E418" i="2"/>
  <c r="D418" i="2"/>
  <c r="C418" i="2"/>
  <c r="B418" i="2"/>
  <c r="O417" i="2"/>
  <c r="E417" i="2"/>
  <c r="D417" i="2"/>
  <c r="C417" i="2"/>
  <c r="B417" i="2"/>
  <c r="O416" i="2"/>
  <c r="E416" i="2"/>
  <c r="D416" i="2"/>
  <c r="C416" i="2"/>
  <c r="B416" i="2"/>
  <c r="O415" i="2"/>
  <c r="E415" i="2"/>
  <c r="D415" i="2"/>
  <c r="C415" i="2"/>
  <c r="B415" i="2"/>
  <c r="O414" i="2"/>
  <c r="E414" i="2"/>
  <c r="D414" i="2"/>
  <c r="C414" i="2"/>
  <c r="B414" i="2"/>
  <c r="O413" i="2"/>
  <c r="E413" i="2"/>
  <c r="D413" i="2"/>
  <c r="C413" i="2"/>
  <c r="B413" i="2"/>
  <c r="O412" i="2"/>
  <c r="E412" i="2"/>
  <c r="D412" i="2"/>
  <c r="C412" i="2"/>
  <c r="B412" i="2"/>
  <c r="O411" i="2"/>
  <c r="E411" i="2"/>
  <c r="D411" i="2"/>
  <c r="C411" i="2"/>
  <c r="B411" i="2"/>
  <c r="O410" i="2"/>
  <c r="E410" i="2"/>
  <c r="D410" i="2"/>
  <c r="C410" i="2"/>
  <c r="B410" i="2"/>
  <c r="O409" i="2"/>
  <c r="E409" i="2"/>
  <c r="D409" i="2"/>
  <c r="C409" i="2"/>
  <c r="B409" i="2"/>
  <c r="O408" i="2"/>
  <c r="E408" i="2"/>
  <c r="D408" i="2"/>
  <c r="C408" i="2"/>
  <c r="B408" i="2"/>
  <c r="O407" i="2"/>
  <c r="E407" i="2"/>
  <c r="D407" i="2"/>
  <c r="C407" i="2"/>
  <c r="B407" i="2"/>
  <c r="O406" i="2"/>
  <c r="E406" i="2"/>
  <c r="D406" i="2"/>
  <c r="C406" i="2"/>
  <c r="B406" i="2"/>
  <c r="O405" i="2"/>
  <c r="E405" i="2"/>
  <c r="D405" i="2"/>
  <c r="C405" i="2"/>
  <c r="B405" i="2"/>
  <c r="O404" i="2"/>
  <c r="E404" i="2"/>
  <c r="D404" i="2"/>
  <c r="C404" i="2"/>
  <c r="B404" i="2"/>
  <c r="O403" i="2"/>
  <c r="E403" i="2"/>
  <c r="D403" i="2"/>
  <c r="C403" i="2"/>
  <c r="B403" i="2"/>
  <c r="O402" i="2"/>
  <c r="E402" i="2"/>
  <c r="D402" i="2"/>
  <c r="C402" i="2"/>
  <c r="B402" i="2"/>
  <c r="O401" i="2"/>
  <c r="E401" i="2"/>
  <c r="D401" i="2"/>
  <c r="C401" i="2"/>
  <c r="B401" i="2"/>
  <c r="O400" i="2"/>
  <c r="E400" i="2"/>
  <c r="D400" i="2"/>
  <c r="C400" i="2"/>
  <c r="B400" i="2"/>
  <c r="O399" i="2"/>
  <c r="E399" i="2"/>
  <c r="D399" i="2"/>
  <c r="C399" i="2"/>
  <c r="B399" i="2"/>
  <c r="O398" i="2"/>
  <c r="E398" i="2"/>
  <c r="D398" i="2"/>
  <c r="C398" i="2"/>
  <c r="B398" i="2"/>
  <c r="O397" i="2"/>
  <c r="E397" i="2"/>
  <c r="D397" i="2"/>
  <c r="C397" i="2"/>
  <c r="B397" i="2"/>
  <c r="O396" i="2"/>
  <c r="E396" i="2"/>
  <c r="D396" i="2"/>
  <c r="C396" i="2"/>
  <c r="B396" i="2"/>
  <c r="O395" i="2"/>
  <c r="E395" i="2"/>
  <c r="D395" i="2"/>
  <c r="C395" i="2"/>
  <c r="B395" i="2"/>
  <c r="O394" i="2"/>
  <c r="E394" i="2"/>
  <c r="D394" i="2"/>
  <c r="C394" i="2"/>
  <c r="B394" i="2"/>
  <c r="O393" i="2"/>
  <c r="E393" i="2"/>
  <c r="D393" i="2"/>
  <c r="C393" i="2"/>
  <c r="B393" i="2"/>
  <c r="O392" i="2"/>
  <c r="E392" i="2"/>
  <c r="D392" i="2"/>
  <c r="C392" i="2"/>
  <c r="B392" i="2"/>
  <c r="O391" i="2"/>
  <c r="E391" i="2"/>
  <c r="D391" i="2"/>
  <c r="C391" i="2"/>
  <c r="B391" i="2"/>
  <c r="O390" i="2"/>
  <c r="E390" i="2"/>
  <c r="D390" i="2"/>
  <c r="C390" i="2"/>
  <c r="B390" i="2"/>
  <c r="O389" i="2"/>
  <c r="E389" i="2"/>
  <c r="D389" i="2"/>
  <c r="C389" i="2"/>
  <c r="B389" i="2"/>
  <c r="O388" i="2"/>
  <c r="E388" i="2"/>
  <c r="D388" i="2"/>
  <c r="C388" i="2"/>
  <c r="B388" i="2"/>
  <c r="O387" i="2"/>
  <c r="E387" i="2"/>
  <c r="D387" i="2"/>
  <c r="C387" i="2"/>
  <c r="B387" i="2"/>
  <c r="O386" i="2"/>
  <c r="E386" i="2"/>
  <c r="D386" i="2"/>
  <c r="C386" i="2"/>
  <c r="B386" i="2"/>
  <c r="O385" i="2"/>
  <c r="E385" i="2"/>
  <c r="D385" i="2"/>
  <c r="C385" i="2"/>
  <c r="B385" i="2"/>
  <c r="O384" i="2"/>
  <c r="E384" i="2"/>
  <c r="D384" i="2"/>
  <c r="C384" i="2"/>
  <c r="B384" i="2"/>
  <c r="O383" i="2"/>
  <c r="E383" i="2"/>
  <c r="D383" i="2"/>
  <c r="C383" i="2"/>
  <c r="B383" i="2"/>
  <c r="O382" i="2"/>
  <c r="E382" i="2"/>
  <c r="D382" i="2"/>
  <c r="C382" i="2"/>
  <c r="B382" i="2"/>
  <c r="O381" i="2"/>
  <c r="E381" i="2"/>
  <c r="D381" i="2"/>
  <c r="C381" i="2"/>
  <c r="B381" i="2"/>
  <c r="O380" i="2"/>
  <c r="E380" i="2"/>
  <c r="D380" i="2"/>
  <c r="C380" i="2"/>
  <c r="B380" i="2"/>
  <c r="O379" i="2"/>
  <c r="E379" i="2"/>
  <c r="D379" i="2"/>
  <c r="C379" i="2"/>
  <c r="B379" i="2"/>
  <c r="O378" i="2"/>
  <c r="E378" i="2"/>
  <c r="D378" i="2"/>
  <c r="C378" i="2"/>
  <c r="B378" i="2"/>
  <c r="O377" i="2"/>
  <c r="E377" i="2"/>
  <c r="D377" i="2"/>
  <c r="C377" i="2"/>
  <c r="B377" i="2"/>
  <c r="O376" i="2"/>
  <c r="E376" i="2"/>
  <c r="D376" i="2"/>
  <c r="C376" i="2"/>
  <c r="B376" i="2"/>
  <c r="O375" i="2"/>
  <c r="E375" i="2"/>
  <c r="D375" i="2"/>
  <c r="C375" i="2"/>
  <c r="B375" i="2"/>
  <c r="O374" i="2"/>
  <c r="E374" i="2"/>
  <c r="D374" i="2"/>
  <c r="C374" i="2"/>
  <c r="B374" i="2"/>
  <c r="O373" i="2"/>
  <c r="E373" i="2"/>
  <c r="D373" i="2"/>
  <c r="C373" i="2"/>
  <c r="B373" i="2"/>
  <c r="O372" i="2"/>
  <c r="E372" i="2"/>
  <c r="D372" i="2"/>
  <c r="C372" i="2"/>
  <c r="B372" i="2"/>
  <c r="O371" i="2"/>
  <c r="E371" i="2"/>
  <c r="D371" i="2"/>
  <c r="C371" i="2"/>
  <c r="B371" i="2"/>
  <c r="O370" i="2"/>
  <c r="E370" i="2"/>
  <c r="D370" i="2"/>
  <c r="C370" i="2"/>
  <c r="B370" i="2"/>
  <c r="O369" i="2"/>
  <c r="E369" i="2"/>
  <c r="D369" i="2"/>
  <c r="C369" i="2"/>
  <c r="B369" i="2"/>
  <c r="O368" i="2"/>
  <c r="E368" i="2"/>
  <c r="D368" i="2"/>
  <c r="C368" i="2"/>
  <c r="B368" i="2"/>
  <c r="O367" i="2"/>
  <c r="E367" i="2"/>
  <c r="D367" i="2"/>
  <c r="C367" i="2"/>
  <c r="B367" i="2"/>
  <c r="O366" i="2"/>
  <c r="E366" i="2"/>
  <c r="D366" i="2"/>
  <c r="C366" i="2"/>
  <c r="B366" i="2"/>
  <c r="O365" i="2"/>
  <c r="E365" i="2"/>
  <c r="D365" i="2"/>
  <c r="C365" i="2"/>
  <c r="B365" i="2"/>
  <c r="O364" i="2"/>
  <c r="E364" i="2"/>
  <c r="D364" i="2"/>
  <c r="C364" i="2"/>
  <c r="B364" i="2"/>
  <c r="O363" i="2"/>
  <c r="E363" i="2"/>
  <c r="D363" i="2"/>
  <c r="C363" i="2"/>
  <c r="B363" i="2"/>
  <c r="O362" i="2"/>
  <c r="E362" i="2"/>
  <c r="D362" i="2"/>
  <c r="C362" i="2"/>
  <c r="B362" i="2"/>
  <c r="O361" i="2"/>
  <c r="E361" i="2"/>
  <c r="D361" i="2"/>
  <c r="C361" i="2"/>
  <c r="B361" i="2"/>
  <c r="O360" i="2"/>
  <c r="E360" i="2"/>
  <c r="D360" i="2"/>
  <c r="C360" i="2"/>
  <c r="B360" i="2"/>
  <c r="O359" i="2"/>
  <c r="E359" i="2"/>
  <c r="D359" i="2"/>
  <c r="C359" i="2"/>
  <c r="B359" i="2"/>
  <c r="O358" i="2"/>
  <c r="E358" i="2"/>
  <c r="D358" i="2"/>
  <c r="C358" i="2"/>
  <c r="B358" i="2"/>
  <c r="O357" i="2"/>
  <c r="E357" i="2"/>
  <c r="D357" i="2"/>
  <c r="C357" i="2"/>
  <c r="B357" i="2"/>
  <c r="O356" i="2"/>
  <c r="E356" i="2"/>
  <c r="D356" i="2"/>
  <c r="C356" i="2"/>
  <c r="B356" i="2"/>
  <c r="O355" i="2"/>
  <c r="E355" i="2"/>
  <c r="D355" i="2"/>
  <c r="C355" i="2"/>
  <c r="B355" i="2"/>
  <c r="O354" i="2"/>
  <c r="E354" i="2"/>
  <c r="D354" i="2"/>
  <c r="C354" i="2"/>
  <c r="B354" i="2"/>
  <c r="O353" i="2"/>
  <c r="E353" i="2"/>
  <c r="D353" i="2"/>
  <c r="C353" i="2"/>
  <c r="B353" i="2"/>
  <c r="O352" i="2"/>
  <c r="E352" i="2"/>
  <c r="D352" i="2"/>
  <c r="C352" i="2"/>
  <c r="B352" i="2"/>
  <c r="O351" i="2"/>
  <c r="E351" i="2"/>
  <c r="D351" i="2"/>
  <c r="C351" i="2"/>
  <c r="B351" i="2"/>
  <c r="O350" i="2"/>
  <c r="E350" i="2"/>
  <c r="D350" i="2"/>
  <c r="C350" i="2"/>
  <c r="B350" i="2"/>
  <c r="O349" i="2"/>
  <c r="E349" i="2"/>
  <c r="D349" i="2"/>
  <c r="C349" i="2"/>
  <c r="B349" i="2"/>
  <c r="O348" i="2"/>
  <c r="E348" i="2"/>
  <c r="D348" i="2"/>
  <c r="C348" i="2"/>
  <c r="B348" i="2"/>
  <c r="O347" i="2"/>
  <c r="E347" i="2"/>
  <c r="D347" i="2"/>
  <c r="C347" i="2"/>
  <c r="B347" i="2"/>
  <c r="O346" i="2"/>
  <c r="E346" i="2"/>
  <c r="D346" i="2"/>
  <c r="C346" i="2"/>
  <c r="B346" i="2"/>
  <c r="O345" i="2"/>
  <c r="E345" i="2"/>
  <c r="D345" i="2"/>
  <c r="C345" i="2"/>
  <c r="B345" i="2"/>
  <c r="O344" i="2"/>
  <c r="E344" i="2"/>
  <c r="D344" i="2"/>
  <c r="C344" i="2"/>
  <c r="B344" i="2"/>
  <c r="O343" i="2"/>
  <c r="E343" i="2"/>
  <c r="D343" i="2"/>
  <c r="C343" i="2"/>
  <c r="B343" i="2"/>
  <c r="O342" i="2"/>
  <c r="E342" i="2"/>
  <c r="D342" i="2"/>
  <c r="C342" i="2"/>
  <c r="B342" i="2"/>
  <c r="O341" i="2"/>
  <c r="E341" i="2"/>
  <c r="D341" i="2"/>
  <c r="C341" i="2"/>
  <c r="B341" i="2"/>
  <c r="O340" i="2"/>
  <c r="E340" i="2"/>
  <c r="D340" i="2"/>
  <c r="C340" i="2"/>
  <c r="B340" i="2"/>
  <c r="O339" i="2"/>
  <c r="E339" i="2"/>
  <c r="D339" i="2"/>
  <c r="C339" i="2"/>
  <c r="B339" i="2"/>
  <c r="O338" i="2"/>
  <c r="E338" i="2"/>
  <c r="D338" i="2"/>
  <c r="C338" i="2"/>
  <c r="B338" i="2"/>
  <c r="O337" i="2"/>
  <c r="E337" i="2"/>
  <c r="D337" i="2"/>
  <c r="C337" i="2"/>
  <c r="B337" i="2"/>
  <c r="O336" i="2"/>
  <c r="E336" i="2"/>
  <c r="D336" i="2"/>
  <c r="C336" i="2"/>
  <c r="B336" i="2"/>
  <c r="O335" i="2"/>
  <c r="E335" i="2"/>
  <c r="D335" i="2"/>
  <c r="C335" i="2"/>
  <c r="B335" i="2"/>
  <c r="O334" i="2"/>
  <c r="E334" i="2"/>
  <c r="D334" i="2"/>
  <c r="C334" i="2"/>
  <c r="B334" i="2"/>
  <c r="O333" i="2"/>
  <c r="E333" i="2"/>
  <c r="D333" i="2"/>
  <c r="C333" i="2"/>
  <c r="B333" i="2"/>
  <c r="O332" i="2"/>
  <c r="E332" i="2"/>
  <c r="D332" i="2"/>
  <c r="C332" i="2"/>
  <c r="B332" i="2"/>
  <c r="O331" i="2"/>
  <c r="E331" i="2"/>
  <c r="D331" i="2"/>
  <c r="C331" i="2"/>
  <c r="B331" i="2"/>
  <c r="O330" i="2"/>
  <c r="E330" i="2"/>
  <c r="D330" i="2"/>
  <c r="C330" i="2"/>
  <c r="B330" i="2"/>
  <c r="O329" i="2"/>
  <c r="E329" i="2"/>
  <c r="D329" i="2"/>
  <c r="C329" i="2"/>
  <c r="B329" i="2"/>
  <c r="O328" i="2"/>
  <c r="E328" i="2"/>
  <c r="D328" i="2"/>
  <c r="C328" i="2"/>
  <c r="B328" i="2"/>
  <c r="O327" i="2"/>
  <c r="E327" i="2"/>
  <c r="D327" i="2"/>
  <c r="C327" i="2"/>
  <c r="B327" i="2"/>
  <c r="O326" i="2"/>
  <c r="E326" i="2"/>
  <c r="D326" i="2"/>
  <c r="C326" i="2"/>
  <c r="B326" i="2"/>
  <c r="O325" i="2"/>
  <c r="E325" i="2"/>
  <c r="D325" i="2"/>
  <c r="C325" i="2"/>
  <c r="B325" i="2"/>
  <c r="O324" i="2"/>
  <c r="E324" i="2"/>
  <c r="D324" i="2"/>
  <c r="C324" i="2"/>
  <c r="B324" i="2"/>
  <c r="O323" i="2"/>
  <c r="E323" i="2"/>
  <c r="D323" i="2"/>
  <c r="C323" i="2"/>
  <c r="B323" i="2"/>
  <c r="O322" i="2"/>
  <c r="E322" i="2"/>
  <c r="D322" i="2"/>
  <c r="C322" i="2"/>
  <c r="B322" i="2"/>
  <c r="O321" i="2"/>
  <c r="E321" i="2"/>
  <c r="D321" i="2"/>
  <c r="C321" i="2"/>
  <c r="B321" i="2"/>
  <c r="O320" i="2"/>
  <c r="E320" i="2"/>
  <c r="D320" i="2"/>
  <c r="C320" i="2"/>
  <c r="B320" i="2"/>
  <c r="O319" i="2"/>
  <c r="E319" i="2"/>
  <c r="D319" i="2"/>
  <c r="C319" i="2"/>
  <c r="B319" i="2"/>
  <c r="O318" i="2"/>
  <c r="E318" i="2"/>
  <c r="D318" i="2"/>
  <c r="C318" i="2"/>
  <c r="B318" i="2"/>
  <c r="O317" i="2"/>
  <c r="E317" i="2"/>
  <c r="D317" i="2"/>
  <c r="C317" i="2"/>
  <c r="B317" i="2"/>
  <c r="O316" i="2"/>
  <c r="E316" i="2"/>
  <c r="D316" i="2"/>
  <c r="C316" i="2"/>
  <c r="B316" i="2"/>
  <c r="O315" i="2"/>
  <c r="E315" i="2"/>
  <c r="D315" i="2"/>
  <c r="C315" i="2"/>
  <c r="B315" i="2"/>
  <c r="O314" i="2"/>
  <c r="E314" i="2"/>
  <c r="D314" i="2"/>
  <c r="C314" i="2"/>
  <c r="B314" i="2"/>
  <c r="O313" i="2"/>
  <c r="E313" i="2"/>
  <c r="D313" i="2"/>
  <c r="C313" i="2"/>
  <c r="B313" i="2"/>
  <c r="O312" i="2"/>
  <c r="E312" i="2"/>
  <c r="D312" i="2"/>
  <c r="C312" i="2"/>
  <c r="B312" i="2"/>
  <c r="O311" i="2"/>
  <c r="E311" i="2"/>
  <c r="D311" i="2"/>
  <c r="C311" i="2"/>
  <c r="B311" i="2"/>
  <c r="O310" i="2"/>
  <c r="E310" i="2"/>
  <c r="D310" i="2"/>
  <c r="C310" i="2"/>
  <c r="B310" i="2"/>
  <c r="O309" i="2"/>
  <c r="E309" i="2"/>
  <c r="D309" i="2"/>
  <c r="C309" i="2"/>
  <c r="B309" i="2"/>
  <c r="O308" i="2"/>
  <c r="E308" i="2"/>
  <c r="D308" i="2"/>
  <c r="C308" i="2"/>
  <c r="B308" i="2"/>
  <c r="O307" i="2"/>
  <c r="E307" i="2"/>
  <c r="D307" i="2"/>
  <c r="C307" i="2"/>
  <c r="B307" i="2"/>
  <c r="O306" i="2"/>
  <c r="E306" i="2"/>
  <c r="D306" i="2"/>
  <c r="C306" i="2"/>
  <c r="B306" i="2"/>
  <c r="O305" i="2"/>
  <c r="E305" i="2"/>
  <c r="D305" i="2"/>
  <c r="C305" i="2"/>
  <c r="B305" i="2"/>
  <c r="O304" i="2"/>
  <c r="E304" i="2"/>
  <c r="D304" i="2"/>
  <c r="C304" i="2"/>
  <c r="B304" i="2"/>
  <c r="O303" i="2"/>
  <c r="E303" i="2"/>
  <c r="D303" i="2"/>
  <c r="C303" i="2"/>
  <c r="B303" i="2"/>
  <c r="O302" i="2"/>
  <c r="E302" i="2"/>
  <c r="D302" i="2"/>
  <c r="C302" i="2"/>
  <c r="B302" i="2"/>
  <c r="O301" i="2"/>
  <c r="E301" i="2"/>
  <c r="D301" i="2"/>
  <c r="C301" i="2"/>
  <c r="B301" i="2"/>
  <c r="O300" i="2"/>
  <c r="E300" i="2"/>
  <c r="D300" i="2"/>
  <c r="C300" i="2"/>
  <c r="B300" i="2"/>
  <c r="O299" i="2"/>
  <c r="E299" i="2"/>
  <c r="D299" i="2"/>
  <c r="C299" i="2"/>
  <c r="B299" i="2"/>
  <c r="O298" i="2"/>
  <c r="E298" i="2"/>
  <c r="D298" i="2"/>
  <c r="C298" i="2"/>
  <c r="B298" i="2"/>
  <c r="O297" i="2"/>
  <c r="E297" i="2"/>
  <c r="D297" i="2"/>
  <c r="C297" i="2"/>
  <c r="B297" i="2"/>
  <c r="O296" i="2"/>
  <c r="E296" i="2"/>
  <c r="D296" i="2"/>
  <c r="C296" i="2"/>
  <c r="B296" i="2"/>
  <c r="O295" i="2"/>
  <c r="E295" i="2"/>
  <c r="D295" i="2"/>
  <c r="C295" i="2"/>
  <c r="B295" i="2"/>
  <c r="O294" i="2"/>
  <c r="E294" i="2"/>
  <c r="D294" i="2"/>
  <c r="C294" i="2"/>
  <c r="B294" i="2"/>
  <c r="O293" i="2"/>
  <c r="E293" i="2"/>
  <c r="D293" i="2"/>
  <c r="C293" i="2"/>
  <c r="B293" i="2"/>
  <c r="O292" i="2"/>
  <c r="E292" i="2"/>
  <c r="D292" i="2"/>
  <c r="C292" i="2"/>
  <c r="B292" i="2"/>
  <c r="O291" i="2"/>
  <c r="E291" i="2"/>
  <c r="D291" i="2"/>
  <c r="C291" i="2"/>
  <c r="B291" i="2"/>
  <c r="O290" i="2"/>
  <c r="E290" i="2"/>
  <c r="D290" i="2"/>
  <c r="C290" i="2"/>
  <c r="B290" i="2"/>
  <c r="O289" i="2"/>
  <c r="E289" i="2"/>
  <c r="D289" i="2"/>
  <c r="C289" i="2"/>
  <c r="B289" i="2"/>
  <c r="O288" i="2"/>
  <c r="E288" i="2"/>
  <c r="D288" i="2"/>
  <c r="C288" i="2"/>
  <c r="B288" i="2"/>
  <c r="O287" i="2"/>
  <c r="E287" i="2"/>
  <c r="D287" i="2"/>
  <c r="C287" i="2"/>
  <c r="B287" i="2"/>
  <c r="O286" i="2"/>
  <c r="E286" i="2"/>
  <c r="D286" i="2"/>
  <c r="C286" i="2"/>
  <c r="B286" i="2"/>
  <c r="O285" i="2"/>
  <c r="E285" i="2"/>
  <c r="D285" i="2"/>
  <c r="C285" i="2"/>
  <c r="B285" i="2"/>
  <c r="O284" i="2"/>
  <c r="E284" i="2"/>
  <c r="D284" i="2"/>
  <c r="C284" i="2"/>
  <c r="B284" i="2"/>
  <c r="O283" i="2"/>
  <c r="E283" i="2"/>
  <c r="D283" i="2"/>
  <c r="C283" i="2"/>
  <c r="B283" i="2"/>
  <c r="O282" i="2"/>
  <c r="E282" i="2"/>
  <c r="D282" i="2"/>
  <c r="C282" i="2"/>
  <c r="B282" i="2"/>
  <c r="O281" i="2"/>
  <c r="E281" i="2"/>
  <c r="D281" i="2"/>
  <c r="C281" i="2"/>
  <c r="B281" i="2"/>
  <c r="O280" i="2"/>
  <c r="E280" i="2"/>
  <c r="D280" i="2"/>
  <c r="C280" i="2"/>
  <c r="B280" i="2"/>
  <c r="O279" i="2"/>
  <c r="E279" i="2"/>
  <c r="D279" i="2"/>
  <c r="C279" i="2"/>
  <c r="B279" i="2"/>
  <c r="O278" i="2"/>
  <c r="E278" i="2"/>
  <c r="D278" i="2"/>
  <c r="C278" i="2"/>
  <c r="B278" i="2"/>
  <c r="O277" i="2"/>
  <c r="E277" i="2"/>
  <c r="D277" i="2"/>
  <c r="C277" i="2"/>
  <c r="B277" i="2"/>
  <c r="O276" i="2"/>
  <c r="E276" i="2"/>
  <c r="D276" i="2"/>
  <c r="C276" i="2"/>
  <c r="B276" i="2"/>
  <c r="O275" i="2"/>
  <c r="E275" i="2"/>
  <c r="D275" i="2"/>
  <c r="C275" i="2"/>
  <c r="B275" i="2"/>
  <c r="O274" i="2"/>
  <c r="E274" i="2"/>
  <c r="D274" i="2"/>
  <c r="C274" i="2"/>
  <c r="B274" i="2"/>
  <c r="O273" i="2"/>
  <c r="E273" i="2"/>
  <c r="D273" i="2"/>
  <c r="C273" i="2"/>
  <c r="B273" i="2"/>
  <c r="O272" i="2"/>
  <c r="E272" i="2"/>
  <c r="D272" i="2"/>
  <c r="C272" i="2"/>
  <c r="B272" i="2"/>
  <c r="O271" i="2"/>
  <c r="E271" i="2"/>
  <c r="D271" i="2"/>
  <c r="C271" i="2"/>
  <c r="B271" i="2"/>
  <c r="O270" i="2"/>
  <c r="E270" i="2"/>
  <c r="D270" i="2"/>
  <c r="C270" i="2"/>
  <c r="B270" i="2"/>
  <c r="O269" i="2"/>
  <c r="E269" i="2"/>
  <c r="D269" i="2"/>
  <c r="C269" i="2"/>
  <c r="B269" i="2"/>
  <c r="O268" i="2"/>
  <c r="E268" i="2"/>
  <c r="D268" i="2"/>
  <c r="C268" i="2"/>
  <c r="B268" i="2"/>
  <c r="O267" i="2"/>
  <c r="E267" i="2"/>
  <c r="D267" i="2"/>
  <c r="C267" i="2"/>
  <c r="B267" i="2"/>
  <c r="O266" i="2"/>
  <c r="E266" i="2"/>
  <c r="D266" i="2"/>
  <c r="C266" i="2"/>
  <c r="B266" i="2"/>
  <c r="O265" i="2"/>
  <c r="E265" i="2"/>
  <c r="D265" i="2"/>
  <c r="C265" i="2"/>
  <c r="B265" i="2"/>
  <c r="O264" i="2"/>
  <c r="E264" i="2"/>
  <c r="D264" i="2"/>
  <c r="C264" i="2"/>
  <c r="B264" i="2"/>
  <c r="O263" i="2"/>
  <c r="E263" i="2"/>
  <c r="D263" i="2"/>
  <c r="C263" i="2"/>
  <c r="B263" i="2"/>
  <c r="O262" i="2"/>
  <c r="E262" i="2"/>
  <c r="D262" i="2"/>
  <c r="C262" i="2"/>
  <c r="B262" i="2"/>
  <c r="O261" i="2"/>
  <c r="E261" i="2"/>
  <c r="D261" i="2"/>
  <c r="C261" i="2"/>
  <c r="B261" i="2"/>
  <c r="O260" i="2"/>
  <c r="E260" i="2"/>
  <c r="D260" i="2"/>
  <c r="C260" i="2"/>
  <c r="B260" i="2"/>
  <c r="O259" i="2"/>
  <c r="E259" i="2"/>
  <c r="D259" i="2"/>
  <c r="C259" i="2"/>
  <c r="B259" i="2"/>
  <c r="O258" i="2"/>
  <c r="E258" i="2"/>
  <c r="D258" i="2"/>
  <c r="C258" i="2"/>
  <c r="B258" i="2"/>
  <c r="O257" i="2"/>
  <c r="E257" i="2"/>
  <c r="D257" i="2"/>
  <c r="C257" i="2"/>
  <c r="B257" i="2"/>
  <c r="O256" i="2"/>
  <c r="E256" i="2"/>
  <c r="D256" i="2"/>
  <c r="C256" i="2"/>
  <c r="B256" i="2"/>
  <c r="O255" i="2"/>
  <c r="E255" i="2"/>
  <c r="D255" i="2"/>
  <c r="C255" i="2"/>
  <c r="B255" i="2"/>
  <c r="O254" i="2"/>
  <c r="E254" i="2"/>
  <c r="D254" i="2"/>
  <c r="C254" i="2"/>
  <c r="B254" i="2"/>
  <c r="O253" i="2"/>
  <c r="E253" i="2"/>
  <c r="D253" i="2"/>
  <c r="C253" i="2"/>
  <c r="B253" i="2"/>
  <c r="O252" i="2"/>
  <c r="E252" i="2"/>
  <c r="D252" i="2"/>
  <c r="C252" i="2"/>
  <c r="B252" i="2"/>
  <c r="O251" i="2"/>
  <c r="E251" i="2"/>
  <c r="D251" i="2"/>
  <c r="C251" i="2"/>
  <c r="B251" i="2"/>
  <c r="O250" i="2"/>
  <c r="E250" i="2"/>
  <c r="D250" i="2"/>
  <c r="C250" i="2"/>
  <c r="B250" i="2"/>
  <c r="O249" i="2"/>
  <c r="E249" i="2"/>
  <c r="D249" i="2"/>
  <c r="C249" i="2"/>
  <c r="B249" i="2"/>
  <c r="O248" i="2"/>
  <c r="E248" i="2"/>
  <c r="D248" i="2"/>
  <c r="C248" i="2"/>
  <c r="B248" i="2"/>
  <c r="O247" i="2"/>
  <c r="E247" i="2"/>
  <c r="D247" i="2"/>
  <c r="C247" i="2"/>
  <c r="B247" i="2"/>
  <c r="O246" i="2"/>
  <c r="E246" i="2"/>
  <c r="D246" i="2"/>
  <c r="C246" i="2"/>
  <c r="B246" i="2"/>
  <c r="O245" i="2"/>
  <c r="E245" i="2"/>
  <c r="D245" i="2"/>
  <c r="C245" i="2"/>
  <c r="B245" i="2"/>
  <c r="O244" i="2"/>
  <c r="E244" i="2"/>
  <c r="D244" i="2"/>
  <c r="C244" i="2"/>
  <c r="B244" i="2"/>
  <c r="O243" i="2"/>
  <c r="E243" i="2"/>
  <c r="D243" i="2"/>
  <c r="C243" i="2"/>
  <c r="B243" i="2"/>
  <c r="O242" i="2"/>
  <c r="E242" i="2"/>
  <c r="D242" i="2"/>
  <c r="C242" i="2"/>
  <c r="B242" i="2"/>
  <c r="O241" i="2"/>
  <c r="E241" i="2"/>
  <c r="D241" i="2"/>
  <c r="C241" i="2"/>
  <c r="B241" i="2"/>
  <c r="O240" i="2"/>
  <c r="E240" i="2"/>
  <c r="D240" i="2"/>
  <c r="C240" i="2"/>
  <c r="B240" i="2"/>
  <c r="O239" i="2"/>
  <c r="E239" i="2"/>
  <c r="D239" i="2"/>
  <c r="C239" i="2"/>
  <c r="B239" i="2"/>
  <c r="O238" i="2"/>
  <c r="E238" i="2"/>
  <c r="D238" i="2"/>
  <c r="C238" i="2"/>
  <c r="B238" i="2"/>
  <c r="O237" i="2"/>
  <c r="E237" i="2"/>
  <c r="D237" i="2"/>
  <c r="C237" i="2"/>
  <c r="B237" i="2"/>
  <c r="O236" i="2"/>
  <c r="E236" i="2"/>
  <c r="D236" i="2"/>
  <c r="C236" i="2"/>
  <c r="B236" i="2"/>
  <c r="O235" i="2"/>
  <c r="E235" i="2"/>
  <c r="D235" i="2"/>
  <c r="C235" i="2"/>
  <c r="B235" i="2"/>
  <c r="O234" i="2"/>
  <c r="E234" i="2"/>
  <c r="D234" i="2"/>
  <c r="C234" i="2"/>
  <c r="B234" i="2"/>
  <c r="O233" i="2"/>
  <c r="E233" i="2"/>
  <c r="D233" i="2"/>
  <c r="C233" i="2"/>
  <c r="B233" i="2"/>
  <c r="O232" i="2"/>
  <c r="E232" i="2"/>
  <c r="D232" i="2"/>
  <c r="C232" i="2"/>
  <c r="B232" i="2"/>
  <c r="O231" i="2"/>
  <c r="E231" i="2"/>
  <c r="D231" i="2"/>
  <c r="C231" i="2"/>
  <c r="B231" i="2"/>
  <c r="O230" i="2"/>
  <c r="E230" i="2"/>
  <c r="D230" i="2"/>
  <c r="C230" i="2"/>
  <c r="B230" i="2"/>
  <c r="O229" i="2"/>
  <c r="E229" i="2"/>
  <c r="D229" i="2"/>
  <c r="C229" i="2"/>
  <c r="B229" i="2"/>
  <c r="O228" i="2"/>
  <c r="E228" i="2"/>
  <c r="D228" i="2"/>
  <c r="C228" i="2"/>
  <c r="B228" i="2"/>
  <c r="O227" i="2"/>
  <c r="E227" i="2"/>
  <c r="D227" i="2"/>
  <c r="C227" i="2"/>
  <c r="B227" i="2"/>
  <c r="O226" i="2"/>
  <c r="E226" i="2"/>
  <c r="D226" i="2"/>
  <c r="C226" i="2"/>
  <c r="B226" i="2"/>
  <c r="O225" i="2"/>
  <c r="E225" i="2"/>
  <c r="D225" i="2"/>
  <c r="C225" i="2"/>
  <c r="B225" i="2"/>
  <c r="O224" i="2"/>
  <c r="E224" i="2"/>
  <c r="D224" i="2"/>
  <c r="C224" i="2"/>
  <c r="B224" i="2"/>
  <c r="O223" i="2"/>
  <c r="E223" i="2"/>
  <c r="D223" i="2"/>
  <c r="C223" i="2"/>
  <c r="B223" i="2"/>
  <c r="O222" i="2"/>
  <c r="E222" i="2"/>
  <c r="D222" i="2"/>
  <c r="C222" i="2"/>
  <c r="B222" i="2"/>
  <c r="O221" i="2"/>
  <c r="E221" i="2"/>
  <c r="D221" i="2"/>
  <c r="C221" i="2"/>
  <c r="B221" i="2"/>
  <c r="O220" i="2"/>
  <c r="E220" i="2"/>
  <c r="D220" i="2"/>
  <c r="C220" i="2"/>
  <c r="B220" i="2"/>
  <c r="O219" i="2"/>
  <c r="E219" i="2"/>
  <c r="D219" i="2"/>
  <c r="C219" i="2"/>
  <c r="B219" i="2"/>
  <c r="O218" i="2"/>
  <c r="E218" i="2"/>
  <c r="D218" i="2"/>
  <c r="C218" i="2"/>
  <c r="B218" i="2"/>
  <c r="O217" i="2"/>
  <c r="E217" i="2"/>
  <c r="D217" i="2"/>
  <c r="C217" i="2"/>
  <c r="B217" i="2"/>
  <c r="O216" i="2"/>
  <c r="E216" i="2"/>
  <c r="D216" i="2"/>
  <c r="C216" i="2"/>
  <c r="B216" i="2"/>
  <c r="O215" i="2"/>
  <c r="E215" i="2"/>
  <c r="D215" i="2"/>
  <c r="C215" i="2"/>
  <c r="B215" i="2"/>
  <c r="O214" i="2"/>
  <c r="E214" i="2"/>
  <c r="D214" i="2"/>
  <c r="C214" i="2"/>
  <c r="B214" i="2"/>
  <c r="O213" i="2"/>
  <c r="E213" i="2"/>
  <c r="D213" i="2"/>
  <c r="C213" i="2"/>
  <c r="B213" i="2"/>
  <c r="O212" i="2"/>
  <c r="E212" i="2"/>
  <c r="D212" i="2"/>
  <c r="C212" i="2"/>
  <c r="B212" i="2"/>
  <c r="O211" i="2"/>
  <c r="E211" i="2"/>
  <c r="D211" i="2"/>
  <c r="C211" i="2"/>
  <c r="B211" i="2"/>
  <c r="O210" i="2"/>
  <c r="E210" i="2"/>
  <c r="D210" i="2"/>
  <c r="C210" i="2"/>
  <c r="B210" i="2"/>
  <c r="O209" i="2"/>
  <c r="E209" i="2"/>
  <c r="D209" i="2"/>
  <c r="C209" i="2"/>
  <c r="B209" i="2"/>
  <c r="O208" i="2"/>
  <c r="E208" i="2"/>
  <c r="D208" i="2"/>
  <c r="C208" i="2"/>
  <c r="B208" i="2"/>
  <c r="O207" i="2"/>
  <c r="E207" i="2"/>
  <c r="D207" i="2"/>
  <c r="C207" i="2"/>
  <c r="B207" i="2"/>
  <c r="O206" i="2"/>
  <c r="E206" i="2"/>
  <c r="D206" i="2"/>
  <c r="C206" i="2"/>
  <c r="B206" i="2"/>
  <c r="O205" i="2"/>
  <c r="E205" i="2"/>
  <c r="D205" i="2"/>
  <c r="C205" i="2"/>
  <c r="B205" i="2"/>
  <c r="O204" i="2"/>
  <c r="E204" i="2"/>
  <c r="D204" i="2"/>
  <c r="C204" i="2"/>
  <c r="B204" i="2"/>
  <c r="O203" i="2"/>
  <c r="E203" i="2"/>
  <c r="D203" i="2"/>
  <c r="C203" i="2"/>
  <c r="B203" i="2"/>
  <c r="O202" i="2"/>
  <c r="E202" i="2"/>
  <c r="D202" i="2"/>
  <c r="C202" i="2"/>
  <c r="B202" i="2"/>
  <c r="O201" i="2"/>
  <c r="E201" i="2"/>
  <c r="D201" i="2"/>
  <c r="C201" i="2"/>
  <c r="B201" i="2"/>
  <c r="O200" i="2"/>
  <c r="E200" i="2"/>
  <c r="D200" i="2"/>
  <c r="C200" i="2"/>
  <c r="B200" i="2"/>
  <c r="O199" i="2"/>
  <c r="E199" i="2"/>
  <c r="D199" i="2"/>
  <c r="C199" i="2"/>
  <c r="B199" i="2"/>
  <c r="O198" i="2"/>
  <c r="E198" i="2"/>
  <c r="D198" i="2"/>
  <c r="C198" i="2"/>
  <c r="B198" i="2"/>
  <c r="O197" i="2"/>
  <c r="E197" i="2"/>
  <c r="D197" i="2"/>
  <c r="C197" i="2"/>
  <c r="B197" i="2"/>
  <c r="O196" i="2"/>
  <c r="E196" i="2"/>
  <c r="D196" i="2"/>
  <c r="C196" i="2"/>
  <c r="B196" i="2"/>
  <c r="O195" i="2"/>
  <c r="E195" i="2"/>
  <c r="D195" i="2"/>
  <c r="C195" i="2"/>
  <c r="B195" i="2"/>
  <c r="O194" i="2"/>
  <c r="E194" i="2"/>
  <c r="D194" i="2"/>
  <c r="C194" i="2"/>
  <c r="B194" i="2"/>
  <c r="O193" i="2"/>
  <c r="E193" i="2"/>
  <c r="D193" i="2"/>
  <c r="C193" i="2"/>
  <c r="B193" i="2"/>
  <c r="O192" i="2"/>
  <c r="E192" i="2"/>
  <c r="D192" i="2"/>
  <c r="C192" i="2"/>
  <c r="B192" i="2"/>
  <c r="O191" i="2"/>
  <c r="E191" i="2"/>
  <c r="D191" i="2"/>
  <c r="C191" i="2"/>
  <c r="B191" i="2"/>
  <c r="O190" i="2"/>
  <c r="E190" i="2"/>
  <c r="D190" i="2"/>
  <c r="C190" i="2"/>
  <c r="B190" i="2"/>
  <c r="O189" i="2"/>
  <c r="E189" i="2"/>
  <c r="D189" i="2"/>
  <c r="C189" i="2"/>
  <c r="B189" i="2"/>
  <c r="O188" i="2"/>
  <c r="E188" i="2"/>
  <c r="D188" i="2"/>
  <c r="C188" i="2"/>
  <c r="B188" i="2"/>
  <c r="O187" i="2"/>
  <c r="E187" i="2"/>
  <c r="D187" i="2"/>
  <c r="C187" i="2"/>
  <c r="B187" i="2"/>
  <c r="O186" i="2"/>
  <c r="E186" i="2"/>
  <c r="D186" i="2"/>
  <c r="C186" i="2"/>
  <c r="B186" i="2"/>
  <c r="O185" i="2"/>
  <c r="E185" i="2"/>
  <c r="D185" i="2"/>
  <c r="C185" i="2"/>
  <c r="B185" i="2"/>
  <c r="O184" i="2"/>
  <c r="E184" i="2"/>
  <c r="D184" i="2"/>
  <c r="C184" i="2"/>
  <c r="B184" i="2"/>
  <c r="O183" i="2"/>
  <c r="E183" i="2"/>
  <c r="D183" i="2"/>
  <c r="C183" i="2"/>
  <c r="B183" i="2"/>
  <c r="O182" i="2"/>
  <c r="E182" i="2"/>
  <c r="D182" i="2"/>
  <c r="C182" i="2"/>
  <c r="B182" i="2"/>
  <c r="O181" i="2"/>
  <c r="E181" i="2"/>
  <c r="D181" i="2"/>
  <c r="C181" i="2"/>
  <c r="B181" i="2"/>
  <c r="O180" i="2"/>
  <c r="E180" i="2"/>
  <c r="D180" i="2"/>
  <c r="C180" i="2"/>
  <c r="B180" i="2"/>
  <c r="O179" i="2"/>
  <c r="E179" i="2"/>
  <c r="D179" i="2"/>
  <c r="C179" i="2"/>
  <c r="B179" i="2"/>
  <c r="O178" i="2"/>
  <c r="E178" i="2"/>
  <c r="D178" i="2"/>
  <c r="C178" i="2"/>
  <c r="B178" i="2"/>
  <c r="O177" i="2"/>
  <c r="E177" i="2"/>
  <c r="D177" i="2"/>
  <c r="C177" i="2"/>
  <c r="B177" i="2"/>
  <c r="O176" i="2"/>
  <c r="E176" i="2"/>
  <c r="D176" i="2"/>
  <c r="C176" i="2"/>
  <c r="B176" i="2"/>
  <c r="O175" i="2"/>
  <c r="E175" i="2"/>
  <c r="D175" i="2"/>
  <c r="C175" i="2"/>
  <c r="B175" i="2"/>
  <c r="O174" i="2"/>
  <c r="E174" i="2"/>
  <c r="D174" i="2"/>
  <c r="C174" i="2"/>
  <c r="B174" i="2"/>
  <c r="O173" i="2"/>
  <c r="E173" i="2"/>
  <c r="D173" i="2"/>
  <c r="C173" i="2"/>
  <c r="B173" i="2"/>
  <c r="O172" i="2"/>
  <c r="E172" i="2"/>
  <c r="D172" i="2"/>
  <c r="C172" i="2"/>
  <c r="B172" i="2"/>
  <c r="O171" i="2"/>
  <c r="E171" i="2"/>
  <c r="D171" i="2"/>
  <c r="C171" i="2"/>
  <c r="B171" i="2"/>
  <c r="O170" i="2"/>
  <c r="E170" i="2"/>
  <c r="D170" i="2"/>
  <c r="C170" i="2"/>
  <c r="B170" i="2"/>
  <c r="O169" i="2"/>
  <c r="E169" i="2"/>
  <c r="D169" i="2"/>
  <c r="C169" i="2"/>
  <c r="B169" i="2"/>
  <c r="O168" i="2"/>
  <c r="E168" i="2"/>
  <c r="D168" i="2"/>
  <c r="C168" i="2"/>
  <c r="B168" i="2"/>
  <c r="O167" i="2"/>
  <c r="E167" i="2"/>
  <c r="D167" i="2"/>
  <c r="C167" i="2"/>
  <c r="B167" i="2"/>
  <c r="O166" i="2"/>
  <c r="E166" i="2"/>
  <c r="D166" i="2"/>
  <c r="C166" i="2"/>
  <c r="B166" i="2"/>
  <c r="O165" i="2"/>
  <c r="E165" i="2"/>
  <c r="D165" i="2"/>
  <c r="C165" i="2"/>
  <c r="B165" i="2"/>
  <c r="O164" i="2"/>
  <c r="E164" i="2"/>
  <c r="D164" i="2"/>
  <c r="C164" i="2"/>
  <c r="B164" i="2"/>
  <c r="O163" i="2"/>
  <c r="E163" i="2"/>
  <c r="D163" i="2"/>
  <c r="C163" i="2"/>
  <c r="B163" i="2"/>
  <c r="O162" i="2"/>
  <c r="E162" i="2"/>
  <c r="D162" i="2"/>
  <c r="C162" i="2"/>
  <c r="B162" i="2"/>
  <c r="O161" i="2"/>
  <c r="E161" i="2"/>
  <c r="D161" i="2"/>
  <c r="C161" i="2"/>
  <c r="B161" i="2"/>
  <c r="O160" i="2"/>
  <c r="E160" i="2"/>
  <c r="D160" i="2"/>
  <c r="C160" i="2"/>
  <c r="B160" i="2"/>
  <c r="O159" i="2"/>
  <c r="E159" i="2"/>
  <c r="D159" i="2"/>
  <c r="C159" i="2"/>
  <c r="B159" i="2"/>
  <c r="O158" i="2"/>
  <c r="E158" i="2"/>
  <c r="D158" i="2"/>
  <c r="C158" i="2"/>
  <c r="B158" i="2"/>
  <c r="O157" i="2"/>
  <c r="E157" i="2"/>
  <c r="D157" i="2"/>
  <c r="C157" i="2"/>
  <c r="B157" i="2"/>
  <c r="O156" i="2"/>
  <c r="E156" i="2"/>
  <c r="D156" i="2"/>
  <c r="C156" i="2"/>
  <c r="B156" i="2"/>
  <c r="O155" i="2"/>
  <c r="E155" i="2"/>
  <c r="D155" i="2"/>
  <c r="C155" i="2"/>
  <c r="B155" i="2"/>
  <c r="O154" i="2"/>
  <c r="E154" i="2"/>
  <c r="D154" i="2"/>
  <c r="C154" i="2"/>
  <c r="B154" i="2"/>
  <c r="O153" i="2"/>
  <c r="E153" i="2"/>
  <c r="D153" i="2"/>
  <c r="C153" i="2"/>
  <c r="B153" i="2"/>
  <c r="O152" i="2"/>
  <c r="E152" i="2"/>
  <c r="D152" i="2"/>
  <c r="C152" i="2"/>
  <c r="B152" i="2"/>
  <c r="O151" i="2"/>
  <c r="E151" i="2"/>
  <c r="D151" i="2"/>
  <c r="C151" i="2"/>
  <c r="B151" i="2"/>
  <c r="O150" i="2"/>
  <c r="E150" i="2"/>
  <c r="D150" i="2"/>
  <c r="C150" i="2"/>
  <c r="B150" i="2"/>
  <c r="O149" i="2"/>
  <c r="E149" i="2"/>
  <c r="D149" i="2"/>
  <c r="C149" i="2"/>
  <c r="B149" i="2"/>
  <c r="O148" i="2"/>
  <c r="E148" i="2"/>
  <c r="D148" i="2"/>
  <c r="C148" i="2"/>
  <c r="B148" i="2"/>
  <c r="O147" i="2"/>
  <c r="E147" i="2"/>
  <c r="D147" i="2"/>
  <c r="C147" i="2"/>
  <c r="B147" i="2"/>
  <c r="O146" i="2"/>
  <c r="E146" i="2"/>
  <c r="D146" i="2"/>
  <c r="C146" i="2"/>
  <c r="B146" i="2"/>
  <c r="O145" i="2"/>
  <c r="E145" i="2"/>
  <c r="D145" i="2"/>
  <c r="C145" i="2"/>
  <c r="B145" i="2"/>
  <c r="O144" i="2"/>
  <c r="E144" i="2"/>
  <c r="D144" i="2"/>
  <c r="C144" i="2"/>
  <c r="B144" i="2"/>
  <c r="O143" i="2"/>
  <c r="E143" i="2"/>
  <c r="D143" i="2"/>
  <c r="C143" i="2"/>
  <c r="B143" i="2"/>
  <c r="O142" i="2"/>
  <c r="E142" i="2"/>
  <c r="D142" i="2"/>
  <c r="C142" i="2"/>
  <c r="B142" i="2"/>
  <c r="O141" i="2"/>
  <c r="E141" i="2"/>
  <c r="D141" i="2"/>
  <c r="C141" i="2"/>
  <c r="B141" i="2"/>
  <c r="O140" i="2"/>
  <c r="E140" i="2"/>
  <c r="D140" i="2"/>
  <c r="C140" i="2"/>
  <c r="B140" i="2"/>
  <c r="O139" i="2"/>
  <c r="E139" i="2"/>
  <c r="D139" i="2"/>
  <c r="C139" i="2"/>
  <c r="B139" i="2"/>
  <c r="O138" i="2"/>
  <c r="E138" i="2"/>
  <c r="D138" i="2"/>
  <c r="C138" i="2"/>
  <c r="B138" i="2"/>
  <c r="O137" i="2"/>
  <c r="E137" i="2"/>
  <c r="D137" i="2"/>
  <c r="C137" i="2"/>
  <c r="B137" i="2"/>
  <c r="O136" i="2"/>
  <c r="E136" i="2"/>
  <c r="D136" i="2"/>
  <c r="C136" i="2"/>
  <c r="B136" i="2"/>
  <c r="O135" i="2"/>
  <c r="E135" i="2"/>
  <c r="D135" i="2"/>
  <c r="C135" i="2"/>
  <c r="B135" i="2"/>
  <c r="O134" i="2"/>
  <c r="E134" i="2"/>
  <c r="D134" i="2"/>
  <c r="C134" i="2"/>
  <c r="B134" i="2"/>
  <c r="O133" i="2"/>
  <c r="E133" i="2"/>
  <c r="D133" i="2"/>
  <c r="C133" i="2"/>
  <c r="B133" i="2"/>
  <c r="O132" i="2"/>
  <c r="E132" i="2"/>
  <c r="D132" i="2"/>
  <c r="C132" i="2"/>
  <c r="B132" i="2"/>
  <c r="O131" i="2"/>
  <c r="E131" i="2"/>
  <c r="D131" i="2"/>
  <c r="C131" i="2"/>
  <c r="B131" i="2"/>
  <c r="O130" i="2"/>
  <c r="E130" i="2"/>
  <c r="D130" i="2"/>
  <c r="C130" i="2"/>
  <c r="B130" i="2"/>
  <c r="O129" i="2"/>
  <c r="E129" i="2"/>
  <c r="D129" i="2"/>
  <c r="C129" i="2"/>
  <c r="B129" i="2"/>
  <c r="O128" i="2"/>
  <c r="E128" i="2"/>
  <c r="D128" i="2"/>
  <c r="C128" i="2"/>
  <c r="B128" i="2"/>
  <c r="O127" i="2"/>
  <c r="E127" i="2"/>
  <c r="D127" i="2"/>
  <c r="C127" i="2"/>
  <c r="B127" i="2"/>
  <c r="O126" i="2"/>
  <c r="E126" i="2"/>
  <c r="D126" i="2"/>
  <c r="C126" i="2"/>
  <c r="B126" i="2"/>
  <c r="O125" i="2"/>
  <c r="E125" i="2"/>
  <c r="D125" i="2"/>
  <c r="C125" i="2"/>
  <c r="B125" i="2"/>
  <c r="O124" i="2"/>
  <c r="E124" i="2"/>
  <c r="D124" i="2"/>
  <c r="C124" i="2"/>
  <c r="B124" i="2"/>
  <c r="O123" i="2"/>
  <c r="E123" i="2"/>
  <c r="D123" i="2"/>
  <c r="C123" i="2"/>
  <c r="B123" i="2"/>
  <c r="O122" i="2"/>
  <c r="E122" i="2"/>
  <c r="D122" i="2"/>
  <c r="C122" i="2"/>
  <c r="B122" i="2"/>
  <c r="O121" i="2"/>
  <c r="E121" i="2"/>
  <c r="D121" i="2"/>
  <c r="C121" i="2"/>
  <c r="B121" i="2"/>
  <c r="O120" i="2"/>
  <c r="E120" i="2"/>
  <c r="D120" i="2"/>
  <c r="C120" i="2"/>
  <c r="B120" i="2"/>
  <c r="O119" i="2"/>
  <c r="E119" i="2"/>
  <c r="D119" i="2"/>
  <c r="C119" i="2"/>
  <c r="B119" i="2"/>
  <c r="O118" i="2"/>
  <c r="E118" i="2"/>
  <c r="D118" i="2"/>
  <c r="C118" i="2"/>
  <c r="B118" i="2"/>
  <c r="O117" i="2"/>
  <c r="E117" i="2"/>
  <c r="D117" i="2"/>
  <c r="C117" i="2"/>
  <c r="B117" i="2"/>
  <c r="O116" i="2"/>
  <c r="E116" i="2"/>
  <c r="D116" i="2"/>
  <c r="C116" i="2"/>
  <c r="B116" i="2"/>
  <c r="O115" i="2"/>
  <c r="E115" i="2"/>
  <c r="D115" i="2"/>
  <c r="C115" i="2"/>
  <c r="B115" i="2"/>
  <c r="O114" i="2"/>
  <c r="E114" i="2"/>
  <c r="D114" i="2"/>
  <c r="C114" i="2"/>
  <c r="B114" i="2"/>
  <c r="O113" i="2"/>
  <c r="E113" i="2"/>
  <c r="D113" i="2"/>
  <c r="C113" i="2"/>
  <c r="B113" i="2"/>
  <c r="O112" i="2"/>
  <c r="E112" i="2"/>
  <c r="D112" i="2"/>
  <c r="C112" i="2"/>
  <c r="B112" i="2"/>
  <c r="O111" i="2"/>
  <c r="E111" i="2"/>
  <c r="D111" i="2"/>
  <c r="C111" i="2"/>
  <c r="B111" i="2"/>
  <c r="O110" i="2"/>
  <c r="E110" i="2"/>
  <c r="D110" i="2"/>
  <c r="C110" i="2"/>
  <c r="B110" i="2"/>
  <c r="O109" i="2"/>
  <c r="E109" i="2"/>
  <c r="D109" i="2"/>
  <c r="C109" i="2"/>
  <c r="B109" i="2"/>
  <c r="O108" i="2"/>
  <c r="E108" i="2"/>
  <c r="D108" i="2"/>
  <c r="C108" i="2"/>
  <c r="B108" i="2"/>
  <c r="O107" i="2"/>
  <c r="E107" i="2"/>
  <c r="D107" i="2"/>
  <c r="C107" i="2"/>
  <c r="B107" i="2"/>
  <c r="O106" i="2"/>
  <c r="E106" i="2"/>
  <c r="D106" i="2"/>
  <c r="C106" i="2"/>
  <c r="B106" i="2"/>
  <c r="O105" i="2"/>
  <c r="E105" i="2"/>
  <c r="D105" i="2"/>
  <c r="C105" i="2"/>
  <c r="B105" i="2"/>
  <c r="O104" i="2"/>
  <c r="E104" i="2"/>
  <c r="D104" i="2"/>
  <c r="C104" i="2"/>
  <c r="B104" i="2"/>
  <c r="O103" i="2"/>
  <c r="E103" i="2"/>
  <c r="D103" i="2"/>
  <c r="C103" i="2"/>
  <c r="B103" i="2"/>
  <c r="O102" i="2"/>
  <c r="E102" i="2"/>
  <c r="D102" i="2"/>
  <c r="C102" i="2"/>
  <c r="B102" i="2"/>
  <c r="O101" i="2"/>
  <c r="E101" i="2"/>
  <c r="D101" i="2"/>
  <c r="C101" i="2"/>
  <c r="B101" i="2"/>
  <c r="O100" i="2"/>
  <c r="E100" i="2"/>
  <c r="D100" i="2"/>
  <c r="C100" i="2"/>
  <c r="B100" i="2"/>
  <c r="O99" i="2"/>
  <c r="E99" i="2"/>
  <c r="D99" i="2"/>
  <c r="C99" i="2"/>
  <c r="B99" i="2"/>
  <c r="O98" i="2"/>
  <c r="E98" i="2"/>
  <c r="D98" i="2"/>
  <c r="C98" i="2"/>
  <c r="B98" i="2"/>
  <c r="O97" i="2"/>
  <c r="E97" i="2"/>
  <c r="D97" i="2"/>
  <c r="C97" i="2"/>
  <c r="B97" i="2"/>
  <c r="O96" i="2"/>
  <c r="E96" i="2"/>
  <c r="D96" i="2"/>
  <c r="C96" i="2"/>
  <c r="B96" i="2"/>
  <c r="O95" i="2"/>
  <c r="E95" i="2"/>
  <c r="D95" i="2"/>
  <c r="C95" i="2"/>
  <c r="B95" i="2"/>
  <c r="O94" i="2"/>
  <c r="E94" i="2"/>
  <c r="D94" i="2"/>
  <c r="C94" i="2"/>
  <c r="B94" i="2"/>
  <c r="O93" i="2"/>
  <c r="E93" i="2"/>
  <c r="D93" i="2"/>
  <c r="C93" i="2"/>
  <c r="B93" i="2"/>
  <c r="O92" i="2"/>
  <c r="E92" i="2"/>
  <c r="D92" i="2"/>
  <c r="C92" i="2"/>
  <c r="B92" i="2"/>
  <c r="O91" i="2"/>
  <c r="E91" i="2"/>
  <c r="D91" i="2"/>
  <c r="C91" i="2"/>
  <c r="B91" i="2"/>
  <c r="O90" i="2"/>
  <c r="E90" i="2"/>
  <c r="D90" i="2"/>
  <c r="C90" i="2"/>
  <c r="B90" i="2"/>
  <c r="O89" i="2"/>
  <c r="E89" i="2"/>
  <c r="D89" i="2"/>
  <c r="C89" i="2"/>
  <c r="B89" i="2"/>
  <c r="O88" i="2"/>
  <c r="E88" i="2"/>
  <c r="D88" i="2"/>
  <c r="C88" i="2"/>
  <c r="B88" i="2"/>
  <c r="O87" i="2"/>
  <c r="E87" i="2"/>
  <c r="D87" i="2"/>
  <c r="C87" i="2"/>
  <c r="B87" i="2"/>
  <c r="O86" i="2"/>
  <c r="E86" i="2"/>
  <c r="D86" i="2"/>
  <c r="C86" i="2"/>
  <c r="B86" i="2"/>
  <c r="O85" i="2"/>
  <c r="E85" i="2"/>
  <c r="D85" i="2"/>
  <c r="C85" i="2"/>
  <c r="B85" i="2"/>
  <c r="O84" i="2"/>
  <c r="E84" i="2"/>
  <c r="D84" i="2"/>
  <c r="C84" i="2"/>
  <c r="B84" i="2"/>
  <c r="O83" i="2"/>
  <c r="E83" i="2"/>
  <c r="D83" i="2"/>
  <c r="C83" i="2"/>
  <c r="B83" i="2"/>
  <c r="O82" i="2"/>
  <c r="E82" i="2"/>
  <c r="D82" i="2"/>
  <c r="C82" i="2"/>
  <c r="B82" i="2"/>
  <c r="O81" i="2"/>
  <c r="E81" i="2"/>
  <c r="D81" i="2"/>
  <c r="C81" i="2"/>
  <c r="B81" i="2"/>
  <c r="O80" i="2"/>
  <c r="E80" i="2"/>
  <c r="D80" i="2"/>
  <c r="C80" i="2"/>
  <c r="B80" i="2"/>
  <c r="O79" i="2"/>
  <c r="E79" i="2"/>
  <c r="D79" i="2"/>
  <c r="C79" i="2"/>
  <c r="B79" i="2"/>
  <c r="O78" i="2"/>
  <c r="E78" i="2"/>
  <c r="D78" i="2"/>
  <c r="C78" i="2"/>
  <c r="B78" i="2"/>
  <c r="O77" i="2"/>
  <c r="E77" i="2"/>
  <c r="D77" i="2"/>
  <c r="C77" i="2"/>
  <c r="B77" i="2"/>
  <c r="O76" i="2"/>
  <c r="E76" i="2"/>
  <c r="D76" i="2"/>
  <c r="C76" i="2"/>
  <c r="B76" i="2"/>
  <c r="O75" i="2"/>
  <c r="E75" i="2"/>
  <c r="D75" i="2"/>
  <c r="C75" i="2"/>
  <c r="B75" i="2"/>
  <c r="O74" i="2"/>
  <c r="E74" i="2"/>
  <c r="D74" i="2"/>
  <c r="C74" i="2"/>
  <c r="B74" i="2"/>
  <c r="O73" i="2"/>
  <c r="E73" i="2"/>
  <c r="D73" i="2"/>
  <c r="C73" i="2"/>
  <c r="B73" i="2"/>
  <c r="O72" i="2"/>
  <c r="E72" i="2"/>
  <c r="D72" i="2"/>
  <c r="C72" i="2"/>
  <c r="B72" i="2"/>
  <c r="O71" i="2"/>
  <c r="E71" i="2"/>
  <c r="D71" i="2"/>
  <c r="C71" i="2"/>
  <c r="B71" i="2"/>
  <c r="O70" i="2"/>
  <c r="E70" i="2"/>
  <c r="D70" i="2"/>
  <c r="C70" i="2"/>
  <c r="B70" i="2"/>
  <c r="O69" i="2"/>
  <c r="E69" i="2"/>
  <c r="D69" i="2"/>
  <c r="C69" i="2"/>
  <c r="B69" i="2"/>
  <c r="O68" i="2"/>
  <c r="E68" i="2"/>
  <c r="D68" i="2"/>
  <c r="C68" i="2"/>
  <c r="B68" i="2"/>
  <c r="O67" i="2"/>
  <c r="E67" i="2"/>
  <c r="D67" i="2"/>
  <c r="C67" i="2"/>
  <c r="B67" i="2"/>
  <c r="O66" i="2"/>
  <c r="E66" i="2"/>
  <c r="D66" i="2"/>
  <c r="C66" i="2"/>
  <c r="B66" i="2"/>
  <c r="O65" i="2"/>
  <c r="E65" i="2"/>
  <c r="D65" i="2"/>
  <c r="C65" i="2"/>
  <c r="B65" i="2"/>
  <c r="O64" i="2"/>
  <c r="E64" i="2"/>
  <c r="D64" i="2"/>
  <c r="C64" i="2"/>
  <c r="B64" i="2"/>
  <c r="O63" i="2"/>
  <c r="E63" i="2"/>
  <c r="D63" i="2"/>
  <c r="C63" i="2"/>
  <c r="B63" i="2"/>
  <c r="O62" i="2"/>
  <c r="E62" i="2"/>
  <c r="D62" i="2"/>
  <c r="C62" i="2"/>
  <c r="B62" i="2"/>
  <c r="O61" i="2"/>
  <c r="E61" i="2"/>
  <c r="D61" i="2"/>
  <c r="C61" i="2"/>
  <c r="B61" i="2"/>
  <c r="O60" i="2"/>
  <c r="E60" i="2"/>
  <c r="D60" i="2"/>
  <c r="C60" i="2"/>
  <c r="B60" i="2"/>
  <c r="O59" i="2"/>
  <c r="E59" i="2"/>
  <c r="D59" i="2"/>
  <c r="C59" i="2"/>
  <c r="B59" i="2"/>
  <c r="O58" i="2"/>
  <c r="E58" i="2"/>
  <c r="D58" i="2"/>
  <c r="C58" i="2"/>
  <c r="B58" i="2"/>
  <c r="O57" i="2"/>
  <c r="E57" i="2"/>
  <c r="D57" i="2"/>
  <c r="C57" i="2"/>
  <c r="B57" i="2"/>
  <c r="O56" i="2"/>
  <c r="E56" i="2"/>
  <c r="D56" i="2"/>
  <c r="C56" i="2"/>
  <c r="B56" i="2"/>
  <c r="O55" i="2"/>
  <c r="E55" i="2"/>
  <c r="D55" i="2"/>
  <c r="C55" i="2"/>
  <c r="B55" i="2"/>
  <c r="O54" i="2"/>
  <c r="E54" i="2"/>
  <c r="D54" i="2"/>
  <c r="C54" i="2"/>
  <c r="B54" i="2"/>
  <c r="O53" i="2"/>
  <c r="E53" i="2"/>
  <c r="D53" i="2"/>
  <c r="C53" i="2"/>
  <c r="B53" i="2"/>
  <c r="O52" i="2"/>
  <c r="E52" i="2"/>
  <c r="D52" i="2"/>
  <c r="C52" i="2"/>
  <c r="B52" i="2"/>
  <c r="O51" i="2"/>
  <c r="E51" i="2"/>
  <c r="D51" i="2"/>
  <c r="C51" i="2"/>
  <c r="B51" i="2"/>
  <c r="O50" i="2"/>
  <c r="E50" i="2"/>
  <c r="D50" i="2"/>
  <c r="C50" i="2"/>
  <c r="B50" i="2"/>
  <c r="O49" i="2"/>
  <c r="E49" i="2"/>
  <c r="D49" i="2"/>
  <c r="C49" i="2"/>
  <c r="B49" i="2"/>
  <c r="O48" i="2"/>
  <c r="E48" i="2"/>
  <c r="D48" i="2"/>
  <c r="C48" i="2"/>
  <c r="B48" i="2"/>
  <c r="O47" i="2"/>
  <c r="E47" i="2"/>
  <c r="D47" i="2"/>
  <c r="C47" i="2"/>
  <c r="B47" i="2"/>
  <c r="O46" i="2"/>
  <c r="E46" i="2"/>
  <c r="D46" i="2"/>
  <c r="C46" i="2"/>
  <c r="B46" i="2"/>
  <c r="O45" i="2"/>
  <c r="E45" i="2"/>
  <c r="D45" i="2"/>
  <c r="C45" i="2"/>
  <c r="B45" i="2"/>
  <c r="O44" i="2"/>
  <c r="E44" i="2"/>
  <c r="D44" i="2"/>
  <c r="C44" i="2"/>
  <c r="B44" i="2"/>
  <c r="O43" i="2"/>
  <c r="E43" i="2"/>
  <c r="D43" i="2"/>
  <c r="C43" i="2"/>
  <c r="B43" i="2"/>
  <c r="O42" i="2"/>
  <c r="E42" i="2"/>
  <c r="D42" i="2"/>
  <c r="C42" i="2"/>
  <c r="B42" i="2"/>
  <c r="O41" i="2"/>
  <c r="E41" i="2"/>
  <c r="D41" i="2"/>
  <c r="C41" i="2"/>
  <c r="B41" i="2"/>
  <c r="O40" i="2"/>
  <c r="E40" i="2"/>
  <c r="D40" i="2"/>
  <c r="C40" i="2"/>
  <c r="B40" i="2"/>
  <c r="O39" i="2"/>
  <c r="E39" i="2"/>
  <c r="D39" i="2"/>
  <c r="C39" i="2"/>
  <c r="B39" i="2"/>
  <c r="O38" i="2"/>
  <c r="E38" i="2"/>
  <c r="D38" i="2"/>
  <c r="C38" i="2"/>
  <c r="B38" i="2"/>
  <c r="O37" i="2"/>
  <c r="E37" i="2"/>
  <c r="D37" i="2"/>
  <c r="C37" i="2"/>
  <c r="B37" i="2"/>
  <c r="O36" i="2"/>
  <c r="E36" i="2"/>
  <c r="D36" i="2"/>
  <c r="C36" i="2"/>
  <c r="B36" i="2"/>
  <c r="O35" i="2"/>
  <c r="E35" i="2"/>
  <c r="D35" i="2"/>
  <c r="C35" i="2"/>
  <c r="B35" i="2"/>
  <c r="O34" i="2"/>
  <c r="E34" i="2"/>
  <c r="D34" i="2"/>
  <c r="C34" i="2"/>
  <c r="B34" i="2"/>
  <c r="O33" i="2"/>
  <c r="E33" i="2"/>
  <c r="D33" i="2"/>
  <c r="C33" i="2"/>
  <c r="B33" i="2"/>
  <c r="O32" i="2"/>
  <c r="E32" i="2"/>
  <c r="D32" i="2"/>
  <c r="C32" i="2"/>
  <c r="B32" i="2"/>
  <c r="O31" i="2"/>
  <c r="E31" i="2"/>
  <c r="D31" i="2"/>
  <c r="C31" i="2"/>
  <c r="B31" i="2"/>
  <c r="O30" i="2"/>
  <c r="E30" i="2"/>
  <c r="D30" i="2"/>
  <c r="C30" i="2"/>
  <c r="B30" i="2"/>
  <c r="O29" i="2"/>
  <c r="E29" i="2"/>
  <c r="D29" i="2"/>
  <c r="C29" i="2"/>
  <c r="B29" i="2"/>
  <c r="O28" i="2"/>
  <c r="E28" i="2"/>
  <c r="D28" i="2"/>
  <c r="C28" i="2"/>
  <c r="B28" i="2"/>
  <c r="O27" i="2"/>
  <c r="E27" i="2"/>
  <c r="D27" i="2"/>
  <c r="C27" i="2"/>
  <c r="B27" i="2"/>
  <c r="O26" i="2"/>
  <c r="E26" i="2"/>
  <c r="D26" i="2"/>
  <c r="C26" i="2"/>
  <c r="B26" i="2"/>
  <c r="O25" i="2"/>
  <c r="E25" i="2"/>
  <c r="D25" i="2"/>
  <c r="C25" i="2"/>
  <c r="B25" i="2"/>
  <c r="O24" i="2"/>
  <c r="E24" i="2"/>
  <c r="D24" i="2"/>
  <c r="C24" i="2"/>
  <c r="B24" i="2"/>
  <c r="O23" i="2"/>
  <c r="E23" i="2"/>
  <c r="D23" i="2"/>
  <c r="C23" i="2"/>
  <c r="B23" i="2"/>
  <c r="O22" i="2"/>
  <c r="E22" i="2"/>
  <c r="D22" i="2"/>
  <c r="C22" i="2"/>
  <c r="B22" i="2"/>
  <c r="O21" i="2"/>
  <c r="E21" i="2"/>
  <c r="D21" i="2"/>
  <c r="C21" i="2"/>
  <c r="B21" i="2"/>
  <c r="O20" i="2"/>
  <c r="E20" i="2"/>
  <c r="D20" i="2"/>
  <c r="C20" i="2"/>
  <c r="B20" i="2"/>
  <c r="O19" i="2"/>
  <c r="E19" i="2"/>
  <c r="D19" i="2"/>
  <c r="C19" i="2"/>
  <c r="B19" i="2"/>
  <c r="O18" i="2"/>
  <c r="E18" i="2"/>
  <c r="D18" i="2"/>
  <c r="C18" i="2"/>
  <c r="B18" i="2"/>
  <c r="O17" i="2"/>
  <c r="E17" i="2"/>
  <c r="D17" i="2"/>
  <c r="C17" i="2"/>
  <c r="B17" i="2"/>
  <c r="O16" i="2"/>
  <c r="E16" i="2"/>
  <c r="D16" i="2"/>
  <c r="C16" i="2"/>
  <c r="B16" i="2"/>
  <c r="O15" i="2"/>
  <c r="E15" i="2"/>
  <c r="D15" i="2"/>
  <c r="C15" i="2"/>
  <c r="B15" i="2"/>
  <c r="O14" i="2"/>
  <c r="E14" i="2"/>
  <c r="D14" i="2"/>
  <c r="C14" i="2"/>
  <c r="B14" i="2"/>
  <c r="O13" i="2"/>
  <c r="E13" i="2"/>
  <c r="D13" i="2"/>
  <c r="C13" i="2"/>
  <c r="B13" i="2"/>
  <c r="O12" i="2"/>
  <c r="E12" i="2"/>
  <c r="D12" i="2"/>
  <c r="C12" i="2"/>
  <c r="B12" i="2"/>
  <c r="O11" i="2"/>
  <c r="E11" i="2"/>
  <c r="D11" i="2"/>
  <c r="C11" i="2"/>
  <c r="B11" i="2"/>
  <c r="O10" i="2"/>
  <c r="E10" i="2"/>
  <c r="D10" i="2"/>
  <c r="C10" i="2"/>
  <c r="B10" i="2"/>
  <c r="O9" i="2"/>
  <c r="E9" i="2"/>
  <c r="D9" i="2"/>
  <c r="C9" i="2"/>
  <c r="B9" i="2"/>
  <c r="O8" i="2"/>
  <c r="E8" i="2"/>
  <c r="D8" i="2"/>
  <c r="C8" i="2"/>
  <c r="B8" i="2"/>
  <c r="O7" i="2"/>
  <c r="E7" i="2"/>
  <c r="D7" i="2"/>
  <c r="C7" i="2"/>
  <c r="B7" i="2"/>
  <c r="O6" i="2"/>
  <c r="E6" i="2"/>
  <c r="D6" i="2"/>
  <c r="C6" i="2"/>
  <c r="B6" i="2"/>
  <c r="O5" i="2"/>
  <c r="E5" i="2"/>
  <c r="D5" i="2"/>
  <c r="C5" i="2"/>
  <c r="B5" i="2"/>
  <c r="O4" i="2"/>
  <c r="E4" i="2"/>
  <c r="D4" i="2"/>
  <c r="C4" i="2"/>
  <c r="B4" i="2"/>
  <c r="O3" i="2"/>
  <c r="E3" i="2"/>
  <c r="D3" i="2"/>
  <c r="C3" i="2"/>
  <c r="B3" i="2"/>
  <c r="O2" i="2"/>
  <c r="E2" i="2"/>
  <c r="D2" i="2"/>
  <c r="C2" i="2"/>
  <c r="B2" i="2"/>
  <c r="W7" i="2"/>
  <c r="W5" i="2"/>
  <c r="W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DC1AA7-8188-44E0-8FF0-0117CBA3D2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9A8BCAB-DA37-4DD3-9B74-2E155A397A02}" name="WorksheetConnection_workedsheet!$A$1:$T$435" type="102" refreshedVersion="8" minRefreshableVersion="5">
    <extLst>
      <ext xmlns:x15="http://schemas.microsoft.com/office/spreadsheetml/2010/11/main" uri="{DE250136-89BD-433C-8126-D09CA5730AF9}">
        <x15:connection id="Range" autoDelete="1">
          <x15:rangePr sourceName="_xlcn.WorksheetConnection_workedsheetA1T4351"/>
        </x15:connection>
      </ext>
    </extLst>
  </connection>
</connections>
</file>

<file path=xl/sharedStrings.xml><?xml version="1.0" encoding="utf-8"?>
<sst xmlns="http://schemas.openxmlformats.org/spreadsheetml/2006/main" count="9987" uniqueCount="542">
  <si>
    <t>0rderedAt</t>
  </si>
  <si>
    <t>Year</t>
  </si>
  <si>
    <t>Month</t>
  </si>
  <si>
    <t>Day</t>
  </si>
  <si>
    <t>Months</t>
  </si>
  <si>
    <t>Order No.</t>
  </si>
  <si>
    <t>Customer Name</t>
  </si>
  <si>
    <t>Producer</t>
  </si>
  <si>
    <t>Product</t>
  </si>
  <si>
    <t>Category Group</t>
  </si>
  <si>
    <t>Category</t>
  </si>
  <si>
    <t>Variant</t>
  </si>
  <si>
    <t>Quantity</t>
  </si>
  <si>
    <t>Unit Price</t>
  </si>
  <si>
    <t>Sales</t>
  </si>
  <si>
    <t>shippingStatus</t>
  </si>
  <si>
    <t>Delivery Agent</t>
  </si>
  <si>
    <t>Delivery</t>
  </si>
  <si>
    <t>Customer Type</t>
  </si>
  <si>
    <t>Order Channel</t>
  </si>
  <si>
    <t>STU-2143266178</t>
  </si>
  <si>
    <t>Rodam Enterprises</t>
  </si>
  <si>
    <t>Hayat Kimya Nigeria Limited</t>
  </si>
  <si>
    <t>Molfix Twin</t>
  </si>
  <si>
    <t>Baby</t>
  </si>
  <si>
    <t>Infant Care</t>
  </si>
  <si>
    <t>Molfix Twin Midi(4-9 Kg) x 36 x 4</t>
  </si>
  <si>
    <t>delivered</t>
  </si>
  <si>
    <t>Maryjane Joel</t>
  </si>
  <si>
    <t>General Trade</t>
  </si>
  <si>
    <t>Mobile App</t>
  </si>
  <si>
    <t>Molfix Twin Mini(3-6 kg) by 40, pack of 4</t>
  </si>
  <si>
    <t>Molfix Twin Maxi(7-18 kg) by 32, pack of 4</t>
  </si>
  <si>
    <t>STU-2143266042</t>
  </si>
  <si>
    <t>O And K Super Store</t>
  </si>
  <si>
    <t>Ralia Okwuchukwu</t>
  </si>
  <si>
    <t>Whatsapp</t>
  </si>
  <si>
    <t>STU-2143265849</t>
  </si>
  <si>
    <t>Jovik Minimart</t>
  </si>
  <si>
    <t>FrieslandCampina WAMCO Nigeria</t>
  </si>
  <si>
    <t>My Boy Eldorin Infant Formula</t>
  </si>
  <si>
    <t>Baby Food</t>
  </si>
  <si>
    <t>My Boy Eldorin Infant Formula 454g x 12</t>
  </si>
  <si>
    <t>Adaeze gabriel</t>
  </si>
  <si>
    <t>Nestle Nigeria Plc</t>
  </si>
  <si>
    <t>NAN Infant Formula</t>
  </si>
  <si>
    <t>NAN 1 Bullet 400g x 12</t>
  </si>
  <si>
    <t>STU-2143267313</t>
  </si>
  <si>
    <t>Sweet  Gift  Shop</t>
  </si>
  <si>
    <t>Molfix Jumbo</t>
  </si>
  <si>
    <t>Molfix Jumbo Maxi(7-18 kg) by 80</t>
  </si>
  <si>
    <t>STU-2143266855</t>
  </si>
  <si>
    <t>Mary paul</t>
  </si>
  <si>
    <t>STU-2143266857</t>
  </si>
  <si>
    <t>STU-2143266287</t>
  </si>
  <si>
    <t>Akinro Minimart</t>
  </si>
  <si>
    <t>Modern Trade</t>
  </si>
  <si>
    <t>STU-2143268417</t>
  </si>
  <si>
    <t>Francisco</t>
  </si>
  <si>
    <t>STU-2143269248</t>
  </si>
  <si>
    <t>Domec Minimart 2</t>
  </si>
  <si>
    <t>Esther Victor</t>
  </si>
  <si>
    <t>STU-2143269092</t>
  </si>
  <si>
    <t>Heritage Steve Super Minimarts</t>
  </si>
  <si>
    <t>Shainaan Buchi</t>
  </si>
  <si>
    <t>USSD</t>
  </si>
  <si>
    <t>STU-2143269535</t>
  </si>
  <si>
    <t>Simple N sweet foods</t>
  </si>
  <si>
    <t>Nan 3 Bullet 400g x 12</t>
  </si>
  <si>
    <t>Molfix Small</t>
  </si>
  <si>
    <t>Molfix Small Midi(4-9 kg) by 9, pack of 10</t>
  </si>
  <si>
    <t>STU-2143270028</t>
  </si>
  <si>
    <t>Isaac Minimarts</t>
  </si>
  <si>
    <t>sharon Walter</t>
  </si>
  <si>
    <t>STU-2143270057</t>
  </si>
  <si>
    <t>STU-2143271381</t>
  </si>
  <si>
    <t>Madam Chibuike</t>
  </si>
  <si>
    <t>Nwando Godwin</t>
  </si>
  <si>
    <t>STU-2143271014</t>
  </si>
  <si>
    <t>Than-all Minimart</t>
  </si>
  <si>
    <t>Molfix Small Mini(3-6 kg) by 10, pack of 12</t>
  </si>
  <si>
    <t>Stephen Progress</t>
  </si>
  <si>
    <t>STU-2143273675</t>
  </si>
  <si>
    <t>Lotage Minimarts</t>
  </si>
  <si>
    <t>Ayomide Charles</t>
  </si>
  <si>
    <t>Wholesale</t>
  </si>
  <si>
    <t>STU-2143273474</t>
  </si>
  <si>
    <t>Tife Chibunnam</t>
  </si>
  <si>
    <t>STU-2143274937</t>
  </si>
  <si>
    <t>Ac Godson</t>
  </si>
  <si>
    <t>Christy Umar</t>
  </si>
  <si>
    <t>Molfix Jumbo Midi(4-9 Kg) x 88 x 3</t>
  </si>
  <si>
    <t>STU-2143275021</t>
  </si>
  <si>
    <t>olakem</t>
  </si>
  <si>
    <t>milcah Smart</t>
  </si>
  <si>
    <t>STU-2143276212</t>
  </si>
  <si>
    <t>Winsolight</t>
  </si>
  <si>
    <t>Martins oyekunle</t>
  </si>
  <si>
    <t>STU-2143276543</t>
  </si>
  <si>
    <t>Silver Destiny</t>
  </si>
  <si>
    <t>SMA GOLD</t>
  </si>
  <si>
    <t>SMA Gold Follow on Mpwdr Can 12 x 400g x4</t>
  </si>
  <si>
    <t>Dolly yanju</t>
  </si>
  <si>
    <t>STU-2143267563</t>
  </si>
  <si>
    <t>K.c Minimart</t>
  </si>
  <si>
    <t>PZ Cussons Nigeria Plc</t>
  </si>
  <si>
    <t>Premier Bar Soap</t>
  </si>
  <si>
    <t>Beauty &amp; Personal Care</t>
  </si>
  <si>
    <t>Toileteries</t>
  </si>
  <si>
    <t>Premier Soap Rose 65G x 104</t>
  </si>
  <si>
    <t>Rayo Enoch</t>
  </si>
  <si>
    <t>Premier Luxurious Milk Family Bar Soap 55g x 104</t>
  </si>
  <si>
    <t>Premier Luxurious Milk Family Bar Soap 175g x 32</t>
  </si>
  <si>
    <t>Procter and Gamble</t>
  </si>
  <si>
    <t>Always Sanitary Pad</t>
  </si>
  <si>
    <t>Always Ultra Single Blue 16 x 7</t>
  </si>
  <si>
    <t>STU-2143267617</t>
  </si>
  <si>
    <t>Afam Nkechi</t>
  </si>
  <si>
    <t>Alma Aliyu</t>
  </si>
  <si>
    <t>STU-2143269628</t>
  </si>
  <si>
    <t>Suncomm Minimarts</t>
  </si>
  <si>
    <t>STU-2143268945</t>
  </si>
  <si>
    <t>TASUDON MinimartS</t>
  </si>
  <si>
    <t>Jessica Williams</t>
  </si>
  <si>
    <t>STU-2143269622</t>
  </si>
  <si>
    <t>Ecoben Minimart</t>
  </si>
  <si>
    <t>Enny Muktar</t>
  </si>
  <si>
    <t>Premier Soap Lemon 55g x 104</t>
  </si>
  <si>
    <t>Unilever Nigeria Plc</t>
  </si>
  <si>
    <t>Close Up (Spc)</t>
  </si>
  <si>
    <t>Oral Care</t>
  </si>
  <si>
    <t>Close-Up Naija Herbal 140g x 50</t>
  </si>
  <si>
    <t>STU-2143270134</t>
  </si>
  <si>
    <t>Mutay Super Store</t>
  </si>
  <si>
    <t>STU-2143271251</t>
  </si>
  <si>
    <t>P D Super Store</t>
  </si>
  <si>
    <t>chinelo Isaac</t>
  </si>
  <si>
    <t>STU-2143269289</t>
  </si>
  <si>
    <t>Ona_ara Minimart</t>
  </si>
  <si>
    <t>mercy Peter</t>
  </si>
  <si>
    <t>Premier Cool Deo Bar Soap 60g x 72</t>
  </si>
  <si>
    <t>STU-2143271675</t>
  </si>
  <si>
    <t>Grandy Minimarts</t>
  </si>
  <si>
    <t>STU-2143277102</t>
  </si>
  <si>
    <t>Sariki Minimart</t>
  </si>
  <si>
    <t>Imegwa Philomena</t>
  </si>
  <si>
    <t>12/14/2020</t>
  </si>
  <si>
    <t>STU-2143265387</t>
  </si>
  <si>
    <t>Madam Wisdom Minimart</t>
  </si>
  <si>
    <t>Nestle Milo</t>
  </si>
  <si>
    <t>Breakfast &amp; Snacks</t>
  </si>
  <si>
    <t>Chocolate Beverage</t>
  </si>
  <si>
    <t>Milo Activ-Go Sachet 400g x 10 + (20g x 10 Free)</t>
  </si>
  <si>
    <t>Bernice Segs</t>
  </si>
  <si>
    <t>STU-2143266171</t>
  </si>
  <si>
    <t>Milo Sachet 20g x 240</t>
  </si>
  <si>
    <t>Nestle Golden Morn</t>
  </si>
  <si>
    <t>Cereal</t>
  </si>
  <si>
    <t>Nestle Golden Morn 450g x 12</t>
  </si>
  <si>
    <t>STU-2143265293</t>
  </si>
  <si>
    <t>Morfas Minimart</t>
  </si>
  <si>
    <t>Queen Alex</t>
  </si>
  <si>
    <t>STU-2143265420</t>
  </si>
  <si>
    <t>Rich Bon  Minimart</t>
  </si>
  <si>
    <t>Promasidor</t>
  </si>
  <si>
    <t>Cowbell Milk</t>
  </si>
  <si>
    <t>Milk</t>
  </si>
  <si>
    <t>Cowbell Chocolate Sachet 20g x 26 x 10</t>
  </si>
  <si>
    <t>Fastizers Food Confectionery</t>
  </si>
  <si>
    <t>Nibit Cookies</t>
  </si>
  <si>
    <t>Confectionary</t>
  </si>
  <si>
    <t>Nibit Mini Snacks Chocolate Cookies 60g x 72</t>
  </si>
  <si>
    <t>Peak Milk</t>
  </si>
  <si>
    <t>Peak Yoghurt 315ml Orange</t>
  </si>
  <si>
    <t>STU-2143266108</t>
  </si>
  <si>
    <t>Chucks nvestment</t>
  </si>
  <si>
    <t>Nasco</t>
  </si>
  <si>
    <t>Nasco Cornflakes</t>
  </si>
  <si>
    <t>Nasco Cornflakes Original Sachet 30g x 36</t>
  </si>
  <si>
    <t>oreoluwa chidi</t>
  </si>
  <si>
    <t>STU-2143265773</t>
  </si>
  <si>
    <t>Madam Akindele Minimart</t>
  </si>
  <si>
    <t>vanessa Jude</t>
  </si>
  <si>
    <t>STU-2143266167</t>
  </si>
  <si>
    <t>Mj Minimart</t>
  </si>
  <si>
    <t>Nibit Mini Snacks Milky Cookies 60g x 72</t>
  </si>
  <si>
    <t>Chiamaka Richard</t>
  </si>
  <si>
    <t>Peak Nig Tray 160g x 24</t>
  </si>
  <si>
    <t>Milo Refill 200g x 24</t>
  </si>
  <si>
    <t>STU-2143265197</t>
  </si>
  <si>
    <t>Milo Activ-Go Sachet (800g + 100g Free) x 6</t>
  </si>
  <si>
    <t>Cadbury Nigeria Plc</t>
  </si>
  <si>
    <t>Bournvita</t>
  </si>
  <si>
    <t>Cadbury Bournvita Sachet 20g x 200</t>
  </si>
  <si>
    <t>STU-2143267278</t>
  </si>
  <si>
    <t>Loya Milk</t>
  </si>
  <si>
    <t>Loya 320g Refill x 12</t>
  </si>
  <si>
    <t>STU-2143267224</t>
  </si>
  <si>
    <t>Omolara Minimart</t>
  </si>
  <si>
    <t>Bola Abiodun</t>
  </si>
  <si>
    <t>Arla Foods</t>
  </si>
  <si>
    <t>Dano Cool Cow</t>
  </si>
  <si>
    <t>Dano Cool Cow Choco Sachet 18g x 250</t>
  </si>
  <si>
    <t>Peak Evap Filled 160g x 24</t>
  </si>
  <si>
    <t>STU-2143267490</t>
  </si>
  <si>
    <t>C B C Minimart</t>
  </si>
  <si>
    <t>Dano Cool Cow Sachet 12g x 260 + 30 Sachet Free</t>
  </si>
  <si>
    <t>Chinonso Micheal</t>
  </si>
  <si>
    <t>STU-2143266229</t>
  </si>
  <si>
    <t>Williams Minimarts</t>
  </si>
  <si>
    <t>STU-2143266265</t>
  </si>
  <si>
    <t>Cowbell Coffee 20g Sachet x 200</t>
  </si>
  <si>
    <t>STU-2143266844</t>
  </si>
  <si>
    <t>Dano Cool Cow Refill 350g x 12</t>
  </si>
  <si>
    <t>STU-2143267458</t>
  </si>
  <si>
    <t>STU-2143267463</t>
  </si>
  <si>
    <t>STU-2143266308</t>
  </si>
  <si>
    <t>STU-2143267281</t>
  </si>
  <si>
    <t>STU-2143267526</t>
  </si>
  <si>
    <t>Chi Nigeria Limited</t>
  </si>
  <si>
    <t>Hollandia Evap. Milk</t>
  </si>
  <si>
    <t>Yoghurt</t>
  </si>
  <si>
    <t>HOLLANDIA EVAP MILK 190G x 24</t>
  </si>
  <si>
    <t>STU-2143266290</t>
  </si>
  <si>
    <t>STU-2143267860</t>
  </si>
  <si>
    <t>God's Heritage</t>
  </si>
  <si>
    <t>STU-2143267846</t>
  </si>
  <si>
    <t>Zeehmamas Super Store</t>
  </si>
  <si>
    <t>Titi Bishop</t>
  </si>
  <si>
    <t>STU-2143267985</t>
  </si>
  <si>
    <t>Sam B Minimarts</t>
  </si>
  <si>
    <t>STU-2143268023</t>
  </si>
  <si>
    <t>Samson Super Store</t>
  </si>
  <si>
    <t>Blessing michael</t>
  </si>
  <si>
    <t>STU-2143268392</t>
  </si>
  <si>
    <t>Abusiedumare Minimart</t>
  </si>
  <si>
    <t>STU-2143268364</t>
  </si>
  <si>
    <t>Nk Minimarts</t>
  </si>
  <si>
    <t>benita Alvin</t>
  </si>
  <si>
    <t>Cowbell Sachet 12g x 200</t>
  </si>
  <si>
    <t>GB Foods</t>
  </si>
  <si>
    <t>Bama Mayonnaise</t>
  </si>
  <si>
    <t>Spreads</t>
  </si>
  <si>
    <t>BAMA MAYONNAISE FL.OZ 909ML JARS X 12</t>
  </si>
  <si>
    <t>STU-2143268558</t>
  </si>
  <si>
    <t>STU-2143268607</t>
  </si>
  <si>
    <t>STU-2143268557</t>
  </si>
  <si>
    <t>Golden Morn 50g x100</t>
  </si>
  <si>
    <t>STU-2143268560</t>
  </si>
  <si>
    <t>STU-2143268621</t>
  </si>
  <si>
    <t>STU-2143268622</t>
  </si>
  <si>
    <t>STU-2143268536</t>
  </si>
  <si>
    <t>zainab Pascal</t>
  </si>
  <si>
    <t>STU-2143268613</t>
  </si>
  <si>
    <t>Hi Mart Minimart</t>
  </si>
  <si>
    <t>Hellen Prince</t>
  </si>
  <si>
    <t>Cadbury Bournvita Refill 500g x 12</t>
  </si>
  <si>
    <t>STU-2143268093</t>
  </si>
  <si>
    <t>Bama Mayonnaise (Pet) 8Oz x 12 (226 ML)</t>
  </si>
  <si>
    <t>stephanie azeez</t>
  </si>
  <si>
    <t>STU-2143269483</t>
  </si>
  <si>
    <t>Rafat Minimart</t>
  </si>
  <si>
    <t>Margaret Muhammed</t>
  </si>
  <si>
    <t>STU-2143269308</t>
  </si>
  <si>
    <t>Iyawo Minimart</t>
  </si>
  <si>
    <t>Ibukun Patrick</t>
  </si>
  <si>
    <t>Milo 1kg x 6 Tin</t>
  </si>
  <si>
    <t>Milo 12 x 500g Tin</t>
  </si>
  <si>
    <t>Three Crowns Milk</t>
  </si>
  <si>
    <t>Three Crowns Instant Filled Milk Powder Sachet 320g x 12</t>
  </si>
  <si>
    <t>STU-2143269095</t>
  </si>
  <si>
    <t>De Young Minimarts</t>
  </si>
  <si>
    <t>Rita uche</t>
  </si>
  <si>
    <t>STU-2143269141</t>
  </si>
  <si>
    <t>AbolOla Minimarts</t>
  </si>
  <si>
    <t>Loveth Adesoji</t>
  </si>
  <si>
    <t>STU-2143269450</t>
  </si>
  <si>
    <t>STU-2143269454</t>
  </si>
  <si>
    <t>STU-2143268627</t>
  </si>
  <si>
    <t>Fortune Supermarket</t>
  </si>
  <si>
    <t>STU-2143269475</t>
  </si>
  <si>
    <t>Nasco Biscuit</t>
  </si>
  <si>
    <t>Biscuits</t>
  </si>
  <si>
    <t>Nasco Shortcake 120g  x 36</t>
  </si>
  <si>
    <t>HOLLANDIA EVAP MILK 50ML x 48</t>
  </si>
  <si>
    <t>Dano Cool Cow Refill 800g x 12</t>
  </si>
  <si>
    <t>Dano Full Cream</t>
  </si>
  <si>
    <t>DANO FULL CREAM 12 X 800G</t>
  </si>
  <si>
    <t>Nescafe</t>
  </si>
  <si>
    <t>Coffee / Tea</t>
  </si>
  <si>
    <t>Nescafé Breakfast 3 in 1 (36 x 8) 32g</t>
  </si>
  <si>
    <t>Nasco Coco Pops 32g x 36</t>
  </si>
  <si>
    <t>Nasco Original Cornflakes 350g x 10</t>
  </si>
  <si>
    <t>Tradedepot Imported</t>
  </si>
  <si>
    <t>Checkers Custard</t>
  </si>
  <si>
    <t>Checkers Custard Powder Vanilla Flavour 400g Refill</t>
  </si>
  <si>
    <t>Dano Cool Cow Sachet 150g x 36</t>
  </si>
  <si>
    <t>DANO FULL CREAM 12 X 350G</t>
  </si>
  <si>
    <t>Mikano Intl Limited</t>
  </si>
  <si>
    <t>Mac Wafers</t>
  </si>
  <si>
    <t>Mac Crunchy Chocolate Coated Wafer 20g x 80</t>
  </si>
  <si>
    <t>Mac Max Vanilla Wafer 15g x 120</t>
  </si>
  <si>
    <t>Peak Nig Tray 170g x 48</t>
  </si>
  <si>
    <t>STU-2143269874</t>
  </si>
  <si>
    <t>Metro Minimart</t>
  </si>
  <si>
    <t>Ofegha Toluwalase</t>
  </si>
  <si>
    <t>STU-2143269974</t>
  </si>
  <si>
    <t>Hollandia Evap Slim 120g x 24</t>
  </si>
  <si>
    <t>STU-2143269692</t>
  </si>
  <si>
    <t>Olaboy Minimart</t>
  </si>
  <si>
    <t>Ameerah Utibeabasi</t>
  </si>
  <si>
    <t>STU-2143269860</t>
  </si>
  <si>
    <t>Madam rahman Minimart</t>
  </si>
  <si>
    <t>STU-2143269790</t>
  </si>
  <si>
    <t>Brasq</t>
  </si>
  <si>
    <t>Kenny Akinola</t>
  </si>
  <si>
    <t>STU-2143270110</t>
  </si>
  <si>
    <t>STU-2143269166</t>
  </si>
  <si>
    <t>Glory Minimarts</t>
  </si>
  <si>
    <t>Ashimedua Godson</t>
  </si>
  <si>
    <t>STU-2143270077</t>
  </si>
  <si>
    <t>Nasco Original Cornflakes 500g x 8</t>
  </si>
  <si>
    <t>STU-2143270113</t>
  </si>
  <si>
    <t>STU-2143269836</t>
  </si>
  <si>
    <t>Chika Minimart</t>
  </si>
  <si>
    <t>Amala AMAECHI</t>
  </si>
  <si>
    <t>STU-2143269511</t>
  </si>
  <si>
    <t>rosemary Goodluck</t>
  </si>
  <si>
    <t>Hollandia Evap Slim 190g x 24</t>
  </si>
  <si>
    <t>STU-2143270855</t>
  </si>
  <si>
    <t>Funky Minimart</t>
  </si>
  <si>
    <t>Rose kelvin</t>
  </si>
  <si>
    <t>STU-2143270980</t>
  </si>
  <si>
    <t>STU-2143270718</t>
  </si>
  <si>
    <t>Bay-on Minimart</t>
  </si>
  <si>
    <t>STU-2143271355</t>
  </si>
  <si>
    <t>Alhaja Eggs</t>
  </si>
  <si>
    <t>Nestle Golden Morn 900g</t>
  </si>
  <si>
    <t>STU-2143271427</t>
  </si>
  <si>
    <t>Emmacity Holdings Minimarts</t>
  </si>
  <si>
    <t>MistaChoco</t>
  </si>
  <si>
    <t>MistaChoco 15g</t>
  </si>
  <si>
    <t>MistaChoco and Sistachoco Promo Pack 15g x 50</t>
  </si>
  <si>
    <t>Chinwe Emmy</t>
  </si>
  <si>
    <t>One Free Hanger of MistaChoco</t>
  </si>
  <si>
    <t>STU-2143271397</t>
  </si>
  <si>
    <t>Champion Minimart</t>
  </si>
  <si>
    <t>STU-2143270757</t>
  </si>
  <si>
    <t>Iya Lekan Minimart</t>
  </si>
  <si>
    <t>Perfect MASTER LIGHT</t>
  </si>
  <si>
    <t>STU-2143271242</t>
  </si>
  <si>
    <t>Fairmoon Supermarket</t>
  </si>
  <si>
    <t>Chidera Aye</t>
  </si>
  <si>
    <t>STU-2143270937</t>
  </si>
  <si>
    <t>Abisoye Simon</t>
  </si>
  <si>
    <t>Blue Band Spread</t>
  </si>
  <si>
    <t>Butter</t>
  </si>
  <si>
    <t>Blue Band Spread For Bread 250g x 24</t>
  </si>
  <si>
    <t>STU-2143270245</t>
  </si>
  <si>
    <t>STU-2143271357</t>
  </si>
  <si>
    <t>Jennifer stephen</t>
  </si>
  <si>
    <t>STU-2143271997</t>
  </si>
  <si>
    <t>Louiz Mart</t>
  </si>
  <si>
    <t>STU-2143272435</t>
  </si>
  <si>
    <t>Dangote</t>
  </si>
  <si>
    <t>Dangote Sugar</t>
  </si>
  <si>
    <t>Sugar</t>
  </si>
  <si>
    <t>Dangote Granulated Sugar 250g</t>
  </si>
  <si>
    <t>STU-2143272279</t>
  </si>
  <si>
    <t>Olufayo Minimart</t>
  </si>
  <si>
    <t>STU-2143272448</t>
  </si>
  <si>
    <t>STU-2143271605</t>
  </si>
  <si>
    <t>STU-2143271860</t>
  </si>
  <si>
    <t>Oreofe Minimart</t>
  </si>
  <si>
    <t>STU-2143271443</t>
  </si>
  <si>
    <t>STU-2143272210</t>
  </si>
  <si>
    <t>Oladeji Minimart</t>
  </si>
  <si>
    <t>STU-2143271934</t>
  </si>
  <si>
    <t>Mum Aliya</t>
  </si>
  <si>
    <t>sophia Tanitoluwa</t>
  </si>
  <si>
    <t>STU-2143271446</t>
  </si>
  <si>
    <t>STU-2143271766</t>
  </si>
  <si>
    <t>Infinity Snacks and Beverages Limited</t>
  </si>
  <si>
    <t>Infinity  Cornflakes</t>
  </si>
  <si>
    <t>Infinity Cornflakes Sachet 30g x 36</t>
  </si>
  <si>
    <t>STU-2143271958</t>
  </si>
  <si>
    <t>S.t.p Enterprise</t>
  </si>
  <si>
    <t>STU-2143271946</t>
  </si>
  <si>
    <t>Hajiya Minimart</t>
  </si>
  <si>
    <t>STU-2143273333</t>
  </si>
  <si>
    <t>STU-2143273112</t>
  </si>
  <si>
    <t>William Henry</t>
  </si>
  <si>
    <t>STU-2143273837</t>
  </si>
  <si>
    <t>Sis Glory</t>
  </si>
  <si>
    <t>STU-2143273655</t>
  </si>
  <si>
    <t>Aboki wife's shop</t>
  </si>
  <si>
    <t>Martins Obafemi</t>
  </si>
  <si>
    <t>STU-2143273688</t>
  </si>
  <si>
    <t>Simeon Madam</t>
  </si>
  <si>
    <t>STU-2143273399</t>
  </si>
  <si>
    <t>Santa Maria Minimarts</t>
  </si>
  <si>
    <t>STU-2143273075</t>
  </si>
  <si>
    <t>Josu Minimart</t>
  </si>
  <si>
    <t>STU-2143273708</t>
  </si>
  <si>
    <t>Alhaja</t>
  </si>
  <si>
    <t>STU-2143273860</t>
  </si>
  <si>
    <t>Solo Minimarts</t>
  </si>
  <si>
    <t>Olive joy</t>
  </si>
  <si>
    <t>STU-2143272764</t>
  </si>
  <si>
    <t>Free Man Minimarts</t>
  </si>
  <si>
    <t>kebe Joseph</t>
  </si>
  <si>
    <t>STU-2143273768</t>
  </si>
  <si>
    <t>Kuchys Place 2</t>
  </si>
  <si>
    <t>STU-2143273760</t>
  </si>
  <si>
    <t>Able God</t>
  </si>
  <si>
    <t>Bethel Rasak Faruk</t>
  </si>
  <si>
    <t>STU-2143272808</t>
  </si>
  <si>
    <t>Oluchi monday</t>
  </si>
  <si>
    <t>STU-2143274741</t>
  </si>
  <si>
    <t>Dangote Granulated Sugar 500g</t>
  </si>
  <si>
    <t>STU-2143274707</t>
  </si>
  <si>
    <t>aktit farm supermarket</t>
  </si>
  <si>
    <t>STU-2143274727</t>
  </si>
  <si>
    <t>ogba</t>
  </si>
  <si>
    <t>STU-2143274600</t>
  </si>
  <si>
    <t>Mum Wisdom Minimart</t>
  </si>
  <si>
    <t>dorcas Adewale</t>
  </si>
  <si>
    <t>STU-2143274581</t>
  </si>
  <si>
    <t>Gods Own Minimart</t>
  </si>
  <si>
    <t>STU-2143273918</t>
  </si>
  <si>
    <t>STU-2143274793</t>
  </si>
  <si>
    <t>Mavelouse Minimart</t>
  </si>
  <si>
    <t>Pollyanna SOLOMON</t>
  </si>
  <si>
    <t>STU-2143274584</t>
  </si>
  <si>
    <t>Basil Minimart</t>
  </si>
  <si>
    <t>MinRee Michael stein</t>
  </si>
  <si>
    <t>STU-2143274671</t>
  </si>
  <si>
    <t>Peace Minimarts</t>
  </si>
  <si>
    <t>Fidelia Martins</t>
  </si>
  <si>
    <t>STU-2143275110</t>
  </si>
  <si>
    <t>Gods Minimart</t>
  </si>
  <si>
    <t>STU-2143274983</t>
  </si>
  <si>
    <t>Ejike Minimart</t>
  </si>
  <si>
    <t>stella Raphael</t>
  </si>
  <si>
    <t>STU-2143275155</t>
  </si>
  <si>
    <t>Iya Mariam</t>
  </si>
  <si>
    <t>DIVINE IDRIS</t>
  </si>
  <si>
    <t>STU-2143273997</t>
  </si>
  <si>
    <t>STU-2143274524</t>
  </si>
  <si>
    <t>STU-2143274948</t>
  </si>
  <si>
    <t>STU-2143275169</t>
  </si>
  <si>
    <t>Anawu Minimart</t>
  </si>
  <si>
    <t>olabisi Kingsley</t>
  </si>
  <si>
    <t>STU-2143276533</t>
  </si>
  <si>
    <t>Peak Milk Tin 400g x 12</t>
  </si>
  <si>
    <t>STU-2143275855</t>
  </si>
  <si>
    <t>smine me Minimart</t>
  </si>
  <si>
    <t>THREE CROWN EVAP TRAY 24 X 170G</t>
  </si>
  <si>
    <t>STU-2143275894</t>
  </si>
  <si>
    <t>STU-2143276532</t>
  </si>
  <si>
    <t>Cynthia ejike james</t>
  </si>
  <si>
    <t>STU-2143276530</t>
  </si>
  <si>
    <t>Mz Good Rich Supermarket</t>
  </si>
  <si>
    <t>STU-2143276423</t>
  </si>
  <si>
    <t>STU-2143276161</t>
  </si>
  <si>
    <t>STU-2143275931</t>
  </si>
  <si>
    <t>bolly Super Store</t>
  </si>
  <si>
    <t>STU-2143276520</t>
  </si>
  <si>
    <t>STU-2143276205</t>
  </si>
  <si>
    <t>STU-2143276062</t>
  </si>
  <si>
    <t>STU-2143276203</t>
  </si>
  <si>
    <t>STU-2143276345</t>
  </si>
  <si>
    <t>STU-2143276518</t>
  </si>
  <si>
    <t>STU-2143276286</t>
  </si>
  <si>
    <t>Ibukunoluwa Minimart</t>
  </si>
  <si>
    <t>Peak 123 gum Sachets 360g x 12</t>
  </si>
  <si>
    <t>STU-2143276250</t>
  </si>
  <si>
    <t>Ceeford Minimart</t>
  </si>
  <si>
    <t>Mietra Azubuike</t>
  </si>
  <si>
    <t>STU-2143277293</t>
  </si>
  <si>
    <t>Udapaul Nig</t>
  </si>
  <si>
    <t>STU-2143276931</t>
  </si>
  <si>
    <t>Taisan Minimart</t>
  </si>
  <si>
    <t>STU-2143277191</t>
  </si>
  <si>
    <t>Oge Mini Mart</t>
  </si>
  <si>
    <t>Waajidah vincent</t>
  </si>
  <si>
    <t>STU-2143276569</t>
  </si>
  <si>
    <t>success 234 ojota</t>
  </si>
  <si>
    <t>STU-2143269671</t>
  </si>
  <si>
    <t>David Minimart</t>
  </si>
  <si>
    <t>Gem ABRAHAM</t>
  </si>
  <si>
    <t>STU-2143269672</t>
  </si>
  <si>
    <t>STU-2143276767</t>
  </si>
  <si>
    <t>Madam Claire</t>
  </si>
  <si>
    <t>STU-2143276867</t>
  </si>
  <si>
    <t>A Square Minimart</t>
  </si>
  <si>
    <t>STU-2143276625</t>
  </si>
  <si>
    <t>STU-2143277308</t>
  </si>
  <si>
    <t>STU-2143276895</t>
  </si>
  <si>
    <t>STU-2143277284</t>
  </si>
  <si>
    <t>Tolchukwu Minimart</t>
  </si>
  <si>
    <t>Vika moussa</t>
  </si>
  <si>
    <t>STU-2143276601</t>
  </si>
  <si>
    <t>STU-2143277017</t>
  </si>
  <si>
    <t>STU-2143277011</t>
  </si>
  <si>
    <t>STU-2143276965</t>
  </si>
  <si>
    <t>God Grace Minimart</t>
  </si>
  <si>
    <t>Peak Milk Powder Sachet 14g x 210</t>
  </si>
  <si>
    <t>STU-2143276890</t>
  </si>
  <si>
    <t>Gods Prosper Minimart</t>
  </si>
  <si>
    <t>Anu Daniel</t>
  </si>
  <si>
    <t>Sweet Gift Shop</t>
  </si>
  <si>
    <t>Rich Bon Minimart</t>
  </si>
  <si>
    <t>Row Labels</t>
  </si>
  <si>
    <t>Grand Total</t>
  </si>
  <si>
    <t>January</t>
  </si>
  <si>
    <t>February</t>
  </si>
  <si>
    <t>March</t>
  </si>
  <si>
    <t>April</t>
  </si>
  <si>
    <t>May</t>
  </si>
  <si>
    <t>June</t>
  </si>
  <si>
    <t>July</t>
  </si>
  <si>
    <t>August</t>
  </si>
  <si>
    <t>September</t>
  </si>
  <si>
    <t>October</t>
  </si>
  <si>
    <t>November</t>
  </si>
  <si>
    <t>December</t>
  </si>
  <si>
    <t>Sum of Sales</t>
  </si>
  <si>
    <t>TOP 10 Product</t>
  </si>
  <si>
    <t>TOP 10 Category</t>
  </si>
  <si>
    <t>TOP 10 Producers</t>
  </si>
  <si>
    <t>TOP 10 Customers</t>
  </si>
  <si>
    <t>TOP 10 Product Variant</t>
  </si>
  <si>
    <t>total sales</t>
  </si>
  <si>
    <t>total customers</t>
  </si>
  <si>
    <t>product count</t>
  </si>
  <si>
    <t>Distinct Count of Customer Name</t>
  </si>
  <si>
    <t>Distinct Count of Order No.</t>
  </si>
  <si>
    <t>total order</t>
  </si>
  <si>
    <t>Distinct Count of Product</t>
  </si>
  <si>
    <t>BISOLA'S DASHBOARD</t>
  </si>
  <si>
    <t xml:space="preserve">            Monthly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</si>
</sst>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quot;₦&quot;#,##0"/>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b/>
      <sz val="10"/>
      <name val="Aptos Narrow"/>
      <family val="2"/>
      <scheme val="minor"/>
    </font>
    <font>
      <sz val="10"/>
      <color theme="1"/>
      <name val="Aptos Narrow"/>
      <family val="2"/>
      <scheme val="minor"/>
    </font>
    <font>
      <b/>
      <sz val="10"/>
      <color theme="8"/>
      <name val="Aptos Narrow"/>
      <family val="2"/>
      <scheme val="minor"/>
    </font>
    <font>
      <b/>
      <sz val="20"/>
      <color theme="1"/>
      <name val="Aptos"/>
      <family val="2"/>
    </font>
    <font>
      <b/>
      <sz val="10"/>
      <color theme="1"/>
      <name val="Aptos Narrow"/>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2" tint="-0.249977111117893"/>
        <bgColor indexed="64"/>
      </patternFill>
    </fill>
  </fills>
  <borders count="2">
    <border>
      <left/>
      <right/>
      <top/>
      <bottom/>
      <diagonal/>
    </border>
    <border>
      <left/>
      <right/>
      <top style="thin">
        <color theme="4"/>
      </top>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14" fontId="3" fillId="0" borderId="1" xfId="0" applyNumberFormat="1" applyFont="1" applyBorder="1" applyAlignment="1">
      <alignment horizontal="left"/>
    </xf>
    <xf numFmtId="1" fontId="3" fillId="0" borderId="1" xfId="0" applyNumberFormat="1" applyFont="1" applyBorder="1" applyAlignment="1">
      <alignment horizontal="left"/>
    </xf>
    <xf numFmtId="0" fontId="3" fillId="0" borderId="1" xfId="0" applyFont="1" applyBorder="1"/>
    <xf numFmtId="14" fontId="4" fillId="0" borderId="0" xfId="0" applyNumberFormat="1" applyFont="1" applyAlignment="1">
      <alignment horizontal="left"/>
    </xf>
    <xf numFmtId="1" fontId="4" fillId="0" borderId="0" xfId="0" applyNumberFormat="1" applyFont="1" applyAlignment="1">
      <alignment horizontal="left"/>
    </xf>
    <xf numFmtId="0" fontId="4" fillId="0" borderId="0" xfId="0" applyFont="1"/>
    <xf numFmtId="4" fontId="4" fillId="0" borderId="0" xfId="0" applyNumberFormat="1" applyFont="1"/>
    <xf numFmtId="14" fontId="5" fillId="2" borderId="1" xfId="0" applyNumberFormat="1" applyFont="1" applyFill="1" applyBorder="1" applyAlignment="1">
      <alignment horizontal="left"/>
    </xf>
    <xf numFmtId="1" fontId="5" fillId="2" borderId="1" xfId="0" applyNumberFormat="1" applyFont="1" applyFill="1" applyBorder="1" applyAlignment="1">
      <alignment horizontal="left"/>
    </xf>
    <xf numFmtId="0" fontId="5" fillId="2" borderId="1" xfId="0" applyFont="1" applyFill="1" applyBorder="1"/>
    <xf numFmtId="0" fontId="0" fillId="0" borderId="0" xfId="0" pivotButton="1"/>
    <xf numFmtId="0" fontId="0" fillId="0" borderId="0" xfId="0" applyAlignment="1">
      <alignment horizontal="left"/>
    </xf>
    <xf numFmtId="4" fontId="0" fillId="0" borderId="0" xfId="0" applyNumberFormat="1"/>
    <xf numFmtId="0" fontId="2" fillId="0" borderId="0" xfId="0" applyFont="1"/>
    <xf numFmtId="164" fontId="0" fillId="0" borderId="0" xfId="1" applyNumberFormat="1" applyFont="1"/>
    <xf numFmtId="0" fontId="0" fillId="3" borderId="0" xfId="0" applyFill="1"/>
    <xf numFmtId="0" fontId="0" fillId="2" borderId="0" xfId="0" applyFill="1"/>
    <xf numFmtId="0" fontId="6" fillId="2" borderId="0" xfId="0" applyFont="1" applyFill="1" applyAlignment="1">
      <alignment horizontal="center" vertical="center"/>
    </xf>
    <xf numFmtId="0" fontId="7" fillId="0" borderId="0" xfId="0"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[BCP 2.xlsx]Chart1!PivotTable1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Chart1!$C$4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Chart1!$B$5:$B$17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Chart1!$C$5:$C$17</c:f>
              <c:numCache>
                <c:formatCode>#,##0.00</c:formatCode>
                <c:ptCount val="12"/>
                <c:pt idx="0">
                  <c:v>754010</c:v>
                </c:pt>
                <c:pt idx="1">
                  <c:v>1321120</c:v>
                </c:pt>
                <c:pt idx="2">
                  <c:v>555440</c:v>
                </c:pt>
                <c:pt idx="3">
                  <c:v>1485750</c:v>
                </c:pt>
                <c:pt idx="4">
                  <c:v>381740</c:v>
                </c:pt>
                <c:pt idx="5">
                  <c:v>94240</c:v>
                </c:pt>
                <c:pt idx="6">
                  <c:v>495271</c:v>
                </c:pt>
                <c:pt idx="7">
                  <c:v>538921</c:v>
                </c:pt>
                <c:pt idx="8">
                  <c:v>428179</c:v>
                </c:pt>
                <c:pt idx="9">
                  <c:v>749008</c:v>
                </c:pt>
                <c:pt idx="10">
                  <c:v>954439.5</c:v>
                </c:pt>
                <c:pt idx="11">
                  <c:v>326586</c:v>
                </c:pt>
              </c:numCache>
            </c:numRef>
          </c:val>
          <c:smooth val="0"/>
          <c:extLst>
            <c:ext xmlns:c16="http://schemas.microsoft.com/office/drawing/2014/chart" uri="{C3380CC4-5D6E-409C-BE32-E72D297353CC}">
              <c16:uniqueId val="{00000000-416F-4C7A-8495-8CD294A4EF00}"/>
            </c:ext>
          </c:extLst>
        </c:ser>
        <c:dLbls>
          <c:showLegendKey val="0"/>
          <c:showVal val="0"/>
          <c:showCatName val="0"/>
          <c:showSerName val="0"/>
          <c:showPercent val="0"/>
          <c:showBubbleSize val="0"/>
        </c:dLbls>
        <c:marker val="1"/>
        <c:smooth val="0"/>
        <c:axId val="122624623"/>
        <c:axId val="122615983"/>
      </c:lineChart>
      <c:catAx>
        <c:axId val="12262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5983"/>
        <c:crosses val="autoZero"/>
        <c:auto val="1"/>
        <c:lblAlgn val="ctr"/>
        <c:lblOffset val="100"/>
        <c:noMultiLvlLbl val="0"/>
      </c:catAx>
      <c:valAx>
        <c:axId val="122615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[BCP 2.xlsx]Chart2!PivotTable1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Chart2!$C$4</c:f>
              <c:strCache>
                <c:ptCount val="1"/>
                <c:pt idx="0">
                  <c:v>Total</c:v>
                </c:pt>
              </c:strCache>
            </c:strRef>
          </c:tx>
          <c:spPr>
            <a:solidFill>
              <a:schemeClr val="accent1"/>
            </a:solidFill>
            <a:ln>
              <a:noFill/>
            </a:ln>
            <a:effectLst/>
          </c:spPr>
          <c:invertIfNegative val="0"/>
          <c:cat>
            <c:strRef>
              <c:f>Chart2!$B$5:$B$35</c:f>
              <c:strCache>
                <c:ptCount val="30"/>
                <c:pt idx="0">
                  <c:v>Mac Wafers</c:v>
                </c:pt>
                <c:pt idx="1">
                  <c:v>Blue Band Spread</c:v>
                </c:pt>
                <c:pt idx="2">
                  <c:v>Always Sanitary Pad</c:v>
                </c:pt>
                <c:pt idx="3">
                  <c:v>SMA GOLD</c:v>
                </c:pt>
                <c:pt idx="4">
                  <c:v>Nescafe</c:v>
                </c:pt>
                <c:pt idx="5">
                  <c:v>Infinity  Cornflakes</c:v>
                </c:pt>
                <c:pt idx="6">
                  <c:v>Nasco Biscuit</c:v>
                </c:pt>
                <c:pt idx="7">
                  <c:v>Close Up (Spc)</c:v>
                </c:pt>
                <c:pt idx="8">
                  <c:v>Checkers Custard</c:v>
                </c:pt>
                <c:pt idx="9">
                  <c:v>Loya Milk</c:v>
                </c:pt>
                <c:pt idx="10">
                  <c:v>Bama Mayonnaise</c:v>
                </c:pt>
                <c:pt idx="11">
                  <c:v>MistaChoco 15g</c:v>
                </c:pt>
                <c:pt idx="12">
                  <c:v>Molfix Small</c:v>
                </c:pt>
                <c:pt idx="13">
                  <c:v>NAN Infant Formula</c:v>
                </c:pt>
                <c:pt idx="14">
                  <c:v>Dangote Sugar</c:v>
                </c:pt>
                <c:pt idx="15">
                  <c:v>Molfix Jumbo</c:v>
                </c:pt>
                <c:pt idx="16">
                  <c:v>Premier Bar Soap</c:v>
                </c:pt>
                <c:pt idx="17">
                  <c:v>Three Crowns Milk</c:v>
                </c:pt>
                <c:pt idx="18">
                  <c:v>Nibit Cookies</c:v>
                </c:pt>
                <c:pt idx="19">
                  <c:v>Dano Full Cream</c:v>
                </c:pt>
                <c:pt idx="20">
                  <c:v>Nasco Cornflakes</c:v>
                </c:pt>
                <c:pt idx="21">
                  <c:v>My Boy Eldorin Infant Formula</c:v>
                </c:pt>
                <c:pt idx="22">
                  <c:v>Molfix Twin</c:v>
                </c:pt>
                <c:pt idx="23">
                  <c:v>Peak Milk</c:v>
                </c:pt>
                <c:pt idx="24">
                  <c:v>Bournvita</c:v>
                </c:pt>
                <c:pt idx="25">
                  <c:v>Hollandia Evap. Milk</c:v>
                </c:pt>
                <c:pt idx="26">
                  <c:v>Cowbell Milk</c:v>
                </c:pt>
                <c:pt idx="27">
                  <c:v>Nestle Golden Morn</c:v>
                </c:pt>
                <c:pt idx="28">
                  <c:v>Dano Cool Cow</c:v>
                </c:pt>
                <c:pt idx="29">
                  <c:v>Nestle Milo</c:v>
                </c:pt>
              </c:strCache>
            </c:strRef>
          </c:cat>
          <c:val>
            <c:numRef>
              <c:f>Chart2!$C$5:$C$35</c:f>
              <c:numCache>
                <c:formatCode>#,##0.00</c:formatCode>
                <c:ptCount val="30"/>
                <c:pt idx="0">
                  <c:v>7040</c:v>
                </c:pt>
                <c:pt idx="1">
                  <c:v>7500</c:v>
                </c:pt>
                <c:pt idx="2">
                  <c:v>11400</c:v>
                </c:pt>
                <c:pt idx="3">
                  <c:v>17500</c:v>
                </c:pt>
                <c:pt idx="4">
                  <c:v>21200</c:v>
                </c:pt>
                <c:pt idx="5">
                  <c:v>21700</c:v>
                </c:pt>
                <c:pt idx="6">
                  <c:v>23100</c:v>
                </c:pt>
                <c:pt idx="7">
                  <c:v>24600</c:v>
                </c:pt>
                <c:pt idx="8">
                  <c:v>30600</c:v>
                </c:pt>
                <c:pt idx="9">
                  <c:v>33000</c:v>
                </c:pt>
                <c:pt idx="10">
                  <c:v>35700</c:v>
                </c:pt>
                <c:pt idx="11">
                  <c:v>40517</c:v>
                </c:pt>
                <c:pt idx="12">
                  <c:v>42300</c:v>
                </c:pt>
                <c:pt idx="13">
                  <c:v>48700</c:v>
                </c:pt>
                <c:pt idx="14">
                  <c:v>73500</c:v>
                </c:pt>
                <c:pt idx="15">
                  <c:v>77700</c:v>
                </c:pt>
                <c:pt idx="16">
                  <c:v>92650</c:v>
                </c:pt>
                <c:pt idx="17">
                  <c:v>106600</c:v>
                </c:pt>
                <c:pt idx="18">
                  <c:v>111000</c:v>
                </c:pt>
                <c:pt idx="19">
                  <c:v>162160</c:v>
                </c:pt>
                <c:pt idx="20">
                  <c:v>164500</c:v>
                </c:pt>
                <c:pt idx="21">
                  <c:v>201600</c:v>
                </c:pt>
                <c:pt idx="22">
                  <c:v>263800</c:v>
                </c:pt>
                <c:pt idx="23">
                  <c:v>280220</c:v>
                </c:pt>
                <c:pt idx="24">
                  <c:v>411850</c:v>
                </c:pt>
                <c:pt idx="25">
                  <c:v>437400</c:v>
                </c:pt>
                <c:pt idx="26">
                  <c:v>449750</c:v>
                </c:pt>
                <c:pt idx="27">
                  <c:v>761412.5</c:v>
                </c:pt>
                <c:pt idx="28">
                  <c:v>1613665</c:v>
                </c:pt>
                <c:pt idx="29">
                  <c:v>2512040</c:v>
                </c:pt>
              </c:numCache>
            </c:numRef>
          </c:val>
          <c:extLst>
            <c:ext xmlns:c16="http://schemas.microsoft.com/office/drawing/2014/chart" uri="{C3380CC4-5D6E-409C-BE32-E72D297353CC}">
              <c16:uniqueId val="{00000000-7EDE-4677-8E33-6A5643E2A773}"/>
            </c:ext>
          </c:extLst>
        </c:ser>
        <c:dLbls>
          <c:showLegendKey val="0"/>
          <c:showVal val="0"/>
          <c:showCatName val="0"/>
          <c:showSerName val="0"/>
          <c:showPercent val="0"/>
          <c:showBubbleSize val="0"/>
        </c:dLbls>
        <c:gapWidth val="150"/>
        <c:overlap val="100"/>
        <c:axId val="122624623"/>
        <c:axId val="122615983"/>
      </c:barChart>
      <c:catAx>
        <c:axId val="12262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5983"/>
        <c:crosses val="autoZero"/>
        <c:auto val="1"/>
        <c:lblAlgn val="ctr"/>
        <c:lblOffset val="100"/>
        <c:noMultiLvlLbl val="0"/>
      </c:catAx>
      <c:valAx>
        <c:axId val="1226159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[BCP 2.xlsx]Chart3!PivotTable1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Chart3!$C$4</c:f>
              <c:strCache>
                <c:ptCount val="1"/>
                <c:pt idx="0">
                  <c:v>Total</c:v>
                </c:pt>
              </c:strCache>
            </c:strRef>
          </c:tx>
          <c:spPr>
            <a:solidFill>
              <a:schemeClr val="accent1"/>
            </a:solidFill>
            <a:ln>
              <a:noFill/>
            </a:ln>
            <a:effectLst/>
          </c:spPr>
          <c:invertIfNegative val="0"/>
          <c:cat>
            <c:strRef>
              <c:f>Chart3!$B$5:$B$19</c:f>
              <c:strCache>
                <c:ptCount val="14"/>
                <c:pt idx="0">
                  <c:v>Butter</c:v>
                </c:pt>
                <c:pt idx="1">
                  <c:v>Coffee / Tea</c:v>
                </c:pt>
                <c:pt idx="2">
                  <c:v>Oral Care</c:v>
                </c:pt>
                <c:pt idx="3">
                  <c:v>Biscuits</c:v>
                </c:pt>
                <c:pt idx="4">
                  <c:v>Sugar</c:v>
                </c:pt>
                <c:pt idx="5">
                  <c:v>Spreads</c:v>
                </c:pt>
                <c:pt idx="6">
                  <c:v>Toileteries</c:v>
                </c:pt>
                <c:pt idx="7">
                  <c:v>Confectionary</c:v>
                </c:pt>
                <c:pt idx="8">
                  <c:v>Baby Food</c:v>
                </c:pt>
                <c:pt idx="9">
                  <c:v>Infant Care</c:v>
                </c:pt>
                <c:pt idx="10">
                  <c:v>Yoghurt</c:v>
                </c:pt>
                <c:pt idx="11">
                  <c:v>Cereal</c:v>
                </c:pt>
                <c:pt idx="12">
                  <c:v>Milk</c:v>
                </c:pt>
                <c:pt idx="13">
                  <c:v>Chocolate Beverage</c:v>
                </c:pt>
              </c:strCache>
            </c:strRef>
          </c:cat>
          <c:val>
            <c:numRef>
              <c:f>Chart3!$C$5:$C$19</c:f>
              <c:numCache>
                <c:formatCode>#,##0.00</c:formatCode>
                <c:ptCount val="14"/>
                <c:pt idx="0">
                  <c:v>7500</c:v>
                </c:pt>
                <c:pt idx="1">
                  <c:v>21200</c:v>
                </c:pt>
                <c:pt idx="2">
                  <c:v>24600</c:v>
                </c:pt>
                <c:pt idx="3">
                  <c:v>30140</c:v>
                </c:pt>
                <c:pt idx="4">
                  <c:v>73500</c:v>
                </c:pt>
                <c:pt idx="5">
                  <c:v>76217</c:v>
                </c:pt>
                <c:pt idx="6">
                  <c:v>104050</c:v>
                </c:pt>
                <c:pt idx="7">
                  <c:v>111000</c:v>
                </c:pt>
                <c:pt idx="8">
                  <c:v>267800</c:v>
                </c:pt>
                <c:pt idx="9">
                  <c:v>383800</c:v>
                </c:pt>
                <c:pt idx="10">
                  <c:v>437400</c:v>
                </c:pt>
                <c:pt idx="11">
                  <c:v>978212.5</c:v>
                </c:pt>
                <c:pt idx="12">
                  <c:v>2645395</c:v>
                </c:pt>
                <c:pt idx="13">
                  <c:v>2923890</c:v>
                </c:pt>
              </c:numCache>
            </c:numRef>
          </c:val>
          <c:extLst>
            <c:ext xmlns:c16="http://schemas.microsoft.com/office/drawing/2014/chart" uri="{C3380CC4-5D6E-409C-BE32-E72D297353CC}">
              <c16:uniqueId val="{00000000-77A7-445B-BBBD-519E792F46BD}"/>
            </c:ext>
          </c:extLst>
        </c:ser>
        <c:dLbls>
          <c:showLegendKey val="0"/>
          <c:showVal val="0"/>
          <c:showCatName val="0"/>
          <c:showSerName val="0"/>
          <c:showPercent val="0"/>
          <c:showBubbleSize val="0"/>
        </c:dLbls>
        <c:gapWidth val="150"/>
        <c:overlap val="100"/>
        <c:axId val="122624623"/>
        <c:axId val="122615983"/>
      </c:barChart>
      <c:catAx>
        <c:axId val="12262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5983"/>
        <c:crosses val="autoZero"/>
        <c:auto val="1"/>
        <c:lblAlgn val="ctr"/>
        <c:lblOffset val="100"/>
        <c:noMultiLvlLbl val="0"/>
      </c:catAx>
      <c:valAx>
        <c:axId val="1226159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[BCP 2.xlsx]Chart4!PivotTable1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contribution by top 10 producers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Chart4!$C$4</c:f>
              <c:strCache>
                <c:ptCount val="1"/>
                <c:pt idx="0">
                  <c:v>Total</c:v>
                </c:pt>
              </c:strCache>
            </c:strRef>
          </c:tx>
          <c:spPr>
            <a:solidFill>
              <a:schemeClr val="accent1"/>
            </a:solidFill>
            <a:ln>
              <a:noFill/>
            </a:ln>
            <a:effectLst/>
          </c:spPr>
          <c:invertIfNegative val="0"/>
          <c:cat>
            <c:strRef>
              <c:f>Chart4!$B$5:$B$23</c:f>
              <c:strCache>
                <c:ptCount val="18"/>
                <c:pt idx="0">
                  <c:v>Mikano Intl Limited</c:v>
                </c:pt>
                <c:pt idx="1">
                  <c:v>Procter and Gamble</c:v>
                </c:pt>
                <c:pt idx="2">
                  <c:v>Infinity Snacks and Beverages Limited</c:v>
                </c:pt>
                <c:pt idx="3">
                  <c:v>Tradedepot Imported</c:v>
                </c:pt>
                <c:pt idx="4">
                  <c:v>Unilever Nigeria Plc</c:v>
                </c:pt>
                <c:pt idx="5">
                  <c:v>GB Foods</c:v>
                </c:pt>
                <c:pt idx="6">
                  <c:v>MistaChoco</c:v>
                </c:pt>
                <c:pt idx="7">
                  <c:v>Dangote</c:v>
                </c:pt>
                <c:pt idx="8">
                  <c:v>PZ Cussons Nigeria Plc</c:v>
                </c:pt>
                <c:pt idx="9">
                  <c:v>Fastizers Food Confectionery</c:v>
                </c:pt>
                <c:pt idx="10">
                  <c:v>Nasco</c:v>
                </c:pt>
                <c:pt idx="11">
                  <c:v>Hayat Kimya Nigeria Limited</c:v>
                </c:pt>
                <c:pt idx="12">
                  <c:v>Cadbury Nigeria Plc</c:v>
                </c:pt>
                <c:pt idx="13">
                  <c:v>Chi Nigeria Limited</c:v>
                </c:pt>
                <c:pt idx="14">
                  <c:v>Promasidor</c:v>
                </c:pt>
                <c:pt idx="15">
                  <c:v>FrieslandCampina WAMCO Nigeria</c:v>
                </c:pt>
                <c:pt idx="16">
                  <c:v>Arla Foods</c:v>
                </c:pt>
                <c:pt idx="17">
                  <c:v>Nestle Nigeria Plc</c:v>
                </c:pt>
              </c:strCache>
            </c:strRef>
          </c:cat>
          <c:val>
            <c:numRef>
              <c:f>Chart4!$C$5:$C$23</c:f>
              <c:numCache>
                <c:formatCode>#,##0.00</c:formatCode>
                <c:ptCount val="18"/>
                <c:pt idx="0">
                  <c:v>7040</c:v>
                </c:pt>
                <c:pt idx="1">
                  <c:v>11400</c:v>
                </c:pt>
                <c:pt idx="2">
                  <c:v>21700</c:v>
                </c:pt>
                <c:pt idx="3">
                  <c:v>30600</c:v>
                </c:pt>
                <c:pt idx="4">
                  <c:v>32100</c:v>
                </c:pt>
                <c:pt idx="5">
                  <c:v>35700</c:v>
                </c:pt>
                <c:pt idx="6">
                  <c:v>40517</c:v>
                </c:pt>
                <c:pt idx="7">
                  <c:v>73500</c:v>
                </c:pt>
                <c:pt idx="8">
                  <c:v>92650</c:v>
                </c:pt>
                <c:pt idx="9">
                  <c:v>111000</c:v>
                </c:pt>
                <c:pt idx="10">
                  <c:v>187600</c:v>
                </c:pt>
                <c:pt idx="11">
                  <c:v>383800</c:v>
                </c:pt>
                <c:pt idx="12">
                  <c:v>411850</c:v>
                </c:pt>
                <c:pt idx="13">
                  <c:v>437400</c:v>
                </c:pt>
                <c:pt idx="14">
                  <c:v>482750</c:v>
                </c:pt>
                <c:pt idx="15">
                  <c:v>588420</c:v>
                </c:pt>
                <c:pt idx="16">
                  <c:v>1775825</c:v>
                </c:pt>
                <c:pt idx="17">
                  <c:v>3360852.5</c:v>
                </c:pt>
              </c:numCache>
            </c:numRef>
          </c:val>
          <c:extLst>
            <c:ext xmlns:c16="http://schemas.microsoft.com/office/drawing/2014/chart" uri="{C3380CC4-5D6E-409C-BE32-E72D297353CC}">
              <c16:uniqueId val="{00000000-5A1A-42B2-98FB-D8D79F87908A}"/>
            </c:ext>
          </c:extLst>
        </c:ser>
        <c:dLbls>
          <c:showLegendKey val="0"/>
          <c:showVal val="0"/>
          <c:showCatName val="0"/>
          <c:showSerName val="0"/>
          <c:showPercent val="0"/>
          <c:showBubbleSize val="0"/>
        </c:dLbls>
        <c:gapWidth val="150"/>
        <c:axId val="122624623"/>
        <c:axId val="122615983"/>
      </c:barChart>
      <c:catAx>
        <c:axId val="122624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5983"/>
        <c:crosses val="autoZero"/>
        <c:auto val="1"/>
        <c:lblAlgn val="ctr"/>
        <c:lblOffset val="100"/>
        <c:noMultiLvlLbl val="0"/>
      </c:catAx>
      <c:valAx>
        <c:axId val="122615983"/>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[BCP 2.xlsx]Chart5!PivotTable1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Segmentation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s>
    <c:plotArea>
      <c:layout/>
      <c:doughnutChart>
        <c:varyColors val="1"/>
        <c:ser>
          <c:idx val="0"/>
          <c:order val="0"/>
          <c:tx>
            <c:strRef>
              <c:f>Chart5!$C$4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40D-4E76-A953-4396461E9C91}"/>
              </c:ext>
            </c:extLst>
          </c:dPt>
          <c:dPt>
            <c:idx val="1"/>
            <c:bubble3D val="0"/>
            <c:spPr>
              <a:solidFill>
                <a:schemeClr val="accent2"/>
              </a:solidFill>
              <a:ln>
                <a:noFill/>
              </a:ln>
              <a:effectLst/>
            </c:spPr>
            <c:extLst>
              <c:ext xmlns:c16="http://schemas.microsoft.com/office/drawing/2014/chart" uri="{C3380CC4-5D6E-409C-BE32-E72D297353CC}">
                <c16:uniqueId val="{00000003-640D-4E76-A953-4396461E9C91}"/>
              </c:ext>
            </c:extLst>
          </c:dPt>
          <c:dPt>
            <c:idx val="2"/>
            <c:bubble3D val="0"/>
            <c:spPr>
              <a:solidFill>
                <a:schemeClr val="accent3"/>
              </a:solidFill>
              <a:ln>
                <a:noFill/>
              </a:ln>
              <a:effectLst/>
            </c:spPr>
            <c:extLst>
              <c:ext xmlns:c16="http://schemas.microsoft.com/office/drawing/2014/chart" uri="{C3380CC4-5D6E-409C-BE32-E72D297353CC}">
                <c16:uniqueId val="{00000005-640D-4E76-A953-4396461E9C91}"/>
              </c:ext>
            </c:extLst>
          </c:dPt>
          <c:dPt>
            <c:idx val="3"/>
            <c:bubble3D val="0"/>
            <c:spPr>
              <a:solidFill>
                <a:schemeClr val="accent4"/>
              </a:solidFill>
              <a:ln>
                <a:noFill/>
              </a:ln>
              <a:effectLst/>
            </c:spPr>
            <c:extLst>
              <c:ext xmlns:c16="http://schemas.microsoft.com/office/drawing/2014/chart" uri="{C3380CC4-5D6E-409C-BE32-E72D297353CC}">
                <c16:uniqueId val="{00000007-640D-4E76-A953-4396461E9C91}"/>
              </c:ext>
            </c:extLst>
          </c:dPt>
          <c:dPt>
            <c:idx val="4"/>
            <c:bubble3D val="0"/>
            <c:spPr>
              <a:solidFill>
                <a:schemeClr val="accent5"/>
              </a:solidFill>
              <a:ln>
                <a:noFill/>
              </a:ln>
              <a:effectLst/>
            </c:spPr>
            <c:extLst>
              <c:ext xmlns:c16="http://schemas.microsoft.com/office/drawing/2014/chart" uri="{C3380CC4-5D6E-409C-BE32-E72D297353CC}">
                <c16:uniqueId val="{00000009-640D-4E76-A953-4396461E9C91}"/>
              </c:ext>
            </c:extLst>
          </c:dPt>
          <c:dPt>
            <c:idx val="5"/>
            <c:bubble3D val="0"/>
            <c:spPr>
              <a:solidFill>
                <a:schemeClr val="accent6"/>
              </a:solidFill>
              <a:ln>
                <a:noFill/>
              </a:ln>
              <a:effectLst/>
            </c:spPr>
            <c:extLst>
              <c:ext xmlns:c16="http://schemas.microsoft.com/office/drawing/2014/chart" uri="{C3380CC4-5D6E-409C-BE32-E72D297353CC}">
                <c16:uniqueId val="{0000000B-640D-4E76-A953-4396461E9C9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640D-4E76-A953-4396461E9C9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640D-4E76-A953-4396461E9C9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640D-4E76-A953-4396461E9C9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640D-4E76-A953-4396461E9C91}"/>
              </c:ext>
            </c:extLst>
          </c:dPt>
          <c:cat>
            <c:strRef>
              <c:f>Chart5!$B$5:$B$15</c:f>
              <c:strCache>
                <c:ptCount val="10"/>
                <c:pt idx="0">
                  <c:v>Rodam Enterprises</c:v>
                </c:pt>
                <c:pt idx="1">
                  <c:v>Simple N sweet foods</c:v>
                </c:pt>
                <c:pt idx="2">
                  <c:v>Hi Mart Minimart</c:v>
                </c:pt>
                <c:pt idx="3">
                  <c:v>Morfas Minimart</c:v>
                </c:pt>
                <c:pt idx="4">
                  <c:v>Grandy Minimarts</c:v>
                </c:pt>
                <c:pt idx="5">
                  <c:v>David Minimart</c:v>
                </c:pt>
                <c:pt idx="6">
                  <c:v>Akinro Minimart</c:v>
                </c:pt>
                <c:pt idx="7">
                  <c:v>Brasq</c:v>
                </c:pt>
                <c:pt idx="8">
                  <c:v>Heritage Steve Super Minimarts</c:v>
                </c:pt>
                <c:pt idx="9">
                  <c:v>Alhaja</c:v>
                </c:pt>
              </c:strCache>
            </c:strRef>
          </c:cat>
          <c:val>
            <c:numRef>
              <c:f>Chart5!$C$5:$C$15</c:f>
              <c:numCache>
                <c:formatCode>#,##0.00</c:formatCode>
                <c:ptCount val="10"/>
                <c:pt idx="0">
                  <c:v>2107960</c:v>
                </c:pt>
                <c:pt idx="1">
                  <c:v>673940</c:v>
                </c:pt>
                <c:pt idx="2">
                  <c:v>543575</c:v>
                </c:pt>
                <c:pt idx="3">
                  <c:v>495250</c:v>
                </c:pt>
                <c:pt idx="4">
                  <c:v>325750</c:v>
                </c:pt>
                <c:pt idx="5">
                  <c:v>225850</c:v>
                </c:pt>
                <c:pt idx="6">
                  <c:v>216800</c:v>
                </c:pt>
                <c:pt idx="7">
                  <c:v>168400</c:v>
                </c:pt>
                <c:pt idx="8">
                  <c:v>153200</c:v>
                </c:pt>
                <c:pt idx="9">
                  <c:v>129620</c:v>
                </c:pt>
              </c:numCache>
            </c:numRef>
          </c:val>
          <c:extLst>
            <c:ext xmlns:c16="http://schemas.microsoft.com/office/drawing/2014/chart" uri="{C3380CC4-5D6E-409C-BE32-E72D297353CC}">
              <c16:uniqueId val="{00000014-640D-4E76-A953-4396461E9C9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[BCP 2.xlsx]Chart6!PivotTable1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High Velocity Product Variant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Chart6!$C$4</c:f>
              <c:strCache>
                <c:ptCount val="1"/>
                <c:pt idx="0">
                  <c:v>Total</c:v>
                </c:pt>
              </c:strCache>
            </c:strRef>
          </c:tx>
          <c:spPr>
            <a:solidFill>
              <a:schemeClr val="accent1"/>
            </a:solidFill>
            <a:ln>
              <a:noFill/>
            </a:ln>
            <a:effectLst/>
          </c:spPr>
          <c:invertIfNegative val="0"/>
          <c:cat>
            <c:strRef>
              <c:f>Chart6!$B$5:$B$15</c:f>
              <c:strCache>
                <c:ptCount val="10"/>
                <c:pt idx="0">
                  <c:v>Milo Activ-Go Sachet (800g + 100g Free) x 6</c:v>
                </c:pt>
                <c:pt idx="1">
                  <c:v>My Boy Eldorin Infant Formula 454g x 12</c:v>
                </c:pt>
                <c:pt idx="2">
                  <c:v>Cowbell Coffee 20g Sachet x 200</c:v>
                </c:pt>
                <c:pt idx="3">
                  <c:v>Dano Cool Cow Refill 350g x 12</c:v>
                </c:pt>
                <c:pt idx="4">
                  <c:v>Nestle Golden Morn 450g x 12</c:v>
                </c:pt>
                <c:pt idx="5">
                  <c:v>Cadbury Bournvita Sachet 20g x 200</c:v>
                </c:pt>
                <c:pt idx="6">
                  <c:v>Golden Morn 50g x100</c:v>
                </c:pt>
                <c:pt idx="7">
                  <c:v>Milo Activ-Go Sachet 400g x 10 + (20g x 10 Free)</c:v>
                </c:pt>
                <c:pt idx="8">
                  <c:v>Dano Cool Cow Sachet 12g x 260 + 30 Sachet Free</c:v>
                </c:pt>
                <c:pt idx="9">
                  <c:v>Milo Sachet 20g x 240</c:v>
                </c:pt>
              </c:strCache>
            </c:strRef>
          </c:cat>
          <c:val>
            <c:numRef>
              <c:f>Chart6!$C$5:$C$15</c:f>
              <c:numCache>
                <c:formatCode>#,##0.00</c:formatCode>
                <c:ptCount val="10"/>
                <c:pt idx="0">
                  <c:v>180900</c:v>
                </c:pt>
                <c:pt idx="1">
                  <c:v>201600</c:v>
                </c:pt>
                <c:pt idx="2">
                  <c:v>221000</c:v>
                </c:pt>
                <c:pt idx="3">
                  <c:v>293250</c:v>
                </c:pt>
                <c:pt idx="4">
                  <c:v>294275</c:v>
                </c:pt>
                <c:pt idx="5">
                  <c:v>339375</c:v>
                </c:pt>
                <c:pt idx="6">
                  <c:v>400087.5</c:v>
                </c:pt>
                <c:pt idx="7">
                  <c:v>588000</c:v>
                </c:pt>
                <c:pt idx="8">
                  <c:v>1154250</c:v>
                </c:pt>
                <c:pt idx="9">
                  <c:v>1596240</c:v>
                </c:pt>
              </c:numCache>
            </c:numRef>
          </c:val>
          <c:extLst>
            <c:ext xmlns:c16="http://schemas.microsoft.com/office/drawing/2014/chart" uri="{C3380CC4-5D6E-409C-BE32-E72D297353CC}">
              <c16:uniqueId val="{00000000-C0C6-4925-B0FF-5BBC863CD881}"/>
            </c:ext>
          </c:extLst>
        </c:ser>
        <c:dLbls>
          <c:showLegendKey val="0"/>
          <c:showVal val="0"/>
          <c:showCatName val="0"/>
          <c:showSerName val="0"/>
          <c:showPercent val="0"/>
          <c:showBubbleSize val="0"/>
        </c:dLbls>
        <c:gapWidth val="100"/>
        <c:axId val="305741375"/>
        <c:axId val="305750015"/>
      </c:barChart>
      <c:valAx>
        <c:axId val="305750015"/>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41375"/>
        <c:crosses val="autoZero"/>
        <c:crossBetween val="between"/>
      </c:valAx>
      <c:catAx>
        <c:axId val="3057413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500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[BCP 2.xlsx]Chart7!PivotTable1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Volume by Order Channel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Chart7!$C$4</c:f>
              <c:strCache>
                <c:ptCount val="1"/>
                <c:pt idx="0">
                  <c:v>Total</c:v>
                </c:pt>
              </c:strCache>
            </c:strRef>
          </c:tx>
          <c:spPr>
            <a:solidFill>
              <a:schemeClr val="accent1"/>
            </a:solidFill>
            <a:ln>
              <a:noFill/>
            </a:ln>
            <a:effectLst/>
          </c:spPr>
          <c:invertIfNegative val="0"/>
          <c:cat>
            <c:strRef>
              <c:f>Chart7!$B$5:$B$8</c:f>
              <c:strCache>
                <c:ptCount val="3"/>
                <c:pt idx="0">
                  <c:v>Mobile App</c:v>
                </c:pt>
                <c:pt idx="1">
                  <c:v>USSD</c:v>
                </c:pt>
                <c:pt idx="2">
                  <c:v>Whatsapp</c:v>
                </c:pt>
              </c:strCache>
            </c:strRef>
          </c:cat>
          <c:val>
            <c:numRef>
              <c:f>Chart7!$C$5:$C$8</c:f>
              <c:numCache>
                <c:formatCode>#,##0.00</c:formatCode>
                <c:ptCount val="3"/>
                <c:pt idx="0">
                  <c:v>3879192.5</c:v>
                </c:pt>
                <c:pt idx="1">
                  <c:v>1387212</c:v>
                </c:pt>
                <c:pt idx="2">
                  <c:v>2818300</c:v>
                </c:pt>
              </c:numCache>
            </c:numRef>
          </c:val>
          <c:extLst>
            <c:ext xmlns:c16="http://schemas.microsoft.com/office/drawing/2014/chart" uri="{C3380CC4-5D6E-409C-BE32-E72D297353CC}">
              <c16:uniqueId val="{00000000-AE6F-412B-9365-8F7AA450CC17}"/>
            </c:ext>
          </c:extLst>
        </c:ser>
        <c:dLbls>
          <c:showLegendKey val="0"/>
          <c:showVal val="0"/>
          <c:showCatName val="0"/>
          <c:showSerName val="0"/>
          <c:showPercent val="0"/>
          <c:showBubbleSize val="0"/>
        </c:dLbls>
        <c:gapWidth val="100"/>
        <c:axId val="305741375"/>
        <c:axId val="305750015"/>
      </c:barChart>
      <c:valAx>
        <c:axId val="305750015"/>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41375"/>
        <c:crosses val="autoZero"/>
        <c:crossBetween val="between"/>
      </c:valAx>
      <c:catAx>
        <c:axId val="3057413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500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[BCP 2.xlsx]Chart1!PivotTable1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Chart1!$C$4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Chart1!$B$5:$B$17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Chart1!$C$5:$C$17</c:f>
              <c:numCache>
                <c:formatCode>#,##0.00</c:formatCode>
                <c:ptCount val="12"/>
                <c:pt idx="0">
                  <c:v>754010</c:v>
                </c:pt>
                <c:pt idx="1">
                  <c:v>1321120</c:v>
                </c:pt>
                <c:pt idx="2">
                  <c:v>555440</c:v>
                </c:pt>
                <c:pt idx="3">
                  <c:v>1485750</c:v>
                </c:pt>
                <c:pt idx="4">
                  <c:v>381740</c:v>
                </c:pt>
                <c:pt idx="5">
                  <c:v>94240</c:v>
                </c:pt>
                <c:pt idx="6">
                  <c:v>495271</c:v>
                </c:pt>
                <c:pt idx="7">
                  <c:v>538921</c:v>
                </c:pt>
                <c:pt idx="8">
                  <c:v>428179</c:v>
                </c:pt>
                <c:pt idx="9">
                  <c:v>749008</c:v>
                </c:pt>
                <c:pt idx="10">
                  <c:v>954439.5</c:v>
                </c:pt>
                <c:pt idx="11">
                  <c:v>326586</c:v>
                </c:pt>
              </c:numCache>
            </c:numRef>
          </c:val>
          <c:smooth val="0"/>
          <c:extLst>
            <c:ext xmlns:c16="http://schemas.microsoft.com/office/drawing/2014/chart" uri="{C3380CC4-5D6E-409C-BE32-E72D297353CC}">
              <c16:uniqueId val="{00000000-897D-48BE-8739-01F9D9D15564}"/>
            </c:ext>
          </c:extLst>
        </c:ser>
        <c:dLbls>
          <c:showLegendKey val="0"/>
          <c:showVal val="0"/>
          <c:showCatName val="0"/>
          <c:showSerName val="0"/>
          <c:showPercent val="0"/>
          <c:showBubbleSize val="0"/>
        </c:dLbls>
        <c:marker val="1"/>
        <c:smooth val="0"/>
        <c:axId val="122624623"/>
        <c:axId val="122615983"/>
      </c:lineChart>
      <c:catAx>
        <c:axId val="12262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5983"/>
        <c:crosses val="autoZero"/>
        <c:auto val="1"/>
        <c:lblAlgn val="ctr"/>
        <c:lblOffset val="100"/>
        <c:noMultiLvlLbl val="0"/>
      </c:catAx>
      <c:valAx>
        <c:axId val="122615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[BCP 2.xlsx]Chart2!PivotTable1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Chart2!$C$4</c:f>
              <c:strCache>
                <c:ptCount val="1"/>
                <c:pt idx="0">
                  <c:v>Total</c:v>
                </c:pt>
              </c:strCache>
            </c:strRef>
          </c:tx>
          <c:spPr>
            <a:solidFill>
              <a:schemeClr val="accent1"/>
            </a:solidFill>
            <a:ln>
              <a:noFill/>
            </a:ln>
            <a:effectLst/>
          </c:spPr>
          <c:invertIfNegative val="0"/>
          <c:cat>
            <c:strRef>
              <c:f>Chart2!$B$5:$B$35</c:f>
              <c:strCache>
                <c:ptCount val="30"/>
                <c:pt idx="0">
                  <c:v>Mac Wafers</c:v>
                </c:pt>
                <c:pt idx="1">
                  <c:v>Blue Band Spread</c:v>
                </c:pt>
                <c:pt idx="2">
                  <c:v>Always Sanitary Pad</c:v>
                </c:pt>
                <c:pt idx="3">
                  <c:v>SMA GOLD</c:v>
                </c:pt>
                <c:pt idx="4">
                  <c:v>Nescafe</c:v>
                </c:pt>
                <c:pt idx="5">
                  <c:v>Infinity  Cornflakes</c:v>
                </c:pt>
                <c:pt idx="6">
                  <c:v>Nasco Biscuit</c:v>
                </c:pt>
                <c:pt idx="7">
                  <c:v>Close Up (Spc)</c:v>
                </c:pt>
                <c:pt idx="8">
                  <c:v>Checkers Custard</c:v>
                </c:pt>
                <c:pt idx="9">
                  <c:v>Loya Milk</c:v>
                </c:pt>
                <c:pt idx="10">
                  <c:v>Bama Mayonnaise</c:v>
                </c:pt>
                <c:pt idx="11">
                  <c:v>MistaChoco 15g</c:v>
                </c:pt>
                <c:pt idx="12">
                  <c:v>Molfix Small</c:v>
                </c:pt>
                <c:pt idx="13">
                  <c:v>NAN Infant Formula</c:v>
                </c:pt>
                <c:pt idx="14">
                  <c:v>Dangote Sugar</c:v>
                </c:pt>
                <c:pt idx="15">
                  <c:v>Molfix Jumbo</c:v>
                </c:pt>
                <c:pt idx="16">
                  <c:v>Premier Bar Soap</c:v>
                </c:pt>
                <c:pt idx="17">
                  <c:v>Three Crowns Milk</c:v>
                </c:pt>
                <c:pt idx="18">
                  <c:v>Nibit Cookies</c:v>
                </c:pt>
                <c:pt idx="19">
                  <c:v>Dano Full Cream</c:v>
                </c:pt>
                <c:pt idx="20">
                  <c:v>Nasco Cornflakes</c:v>
                </c:pt>
                <c:pt idx="21">
                  <c:v>My Boy Eldorin Infant Formula</c:v>
                </c:pt>
                <c:pt idx="22">
                  <c:v>Molfix Twin</c:v>
                </c:pt>
                <c:pt idx="23">
                  <c:v>Peak Milk</c:v>
                </c:pt>
                <c:pt idx="24">
                  <c:v>Bournvita</c:v>
                </c:pt>
                <c:pt idx="25">
                  <c:v>Hollandia Evap. Milk</c:v>
                </c:pt>
                <c:pt idx="26">
                  <c:v>Cowbell Milk</c:v>
                </c:pt>
                <c:pt idx="27">
                  <c:v>Nestle Golden Morn</c:v>
                </c:pt>
                <c:pt idx="28">
                  <c:v>Dano Cool Cow</c:v>
                </c:pt>
                <c:pt idx="29">
                  <c:v>Nestle Milo</c:v>
                </c:pt>
              </c:strCache>
            </c:strRef>
          </c:cat>
          <c:val>
            <c:numRef>
              <c:f>Chart2!$C$5:$C$35</c:f>
              <c:numCache>
                <c:formatCode>#,##0.00</c:formatCode>
                <c:ptCount val="30"/>
                <c:pt idx="0">
                  <c:v>7040</c:v>
                </c:pt>
                <c:pt idx="1">
                  <c:v>7500</c:v>
                </c:pt>
                <c:pt idx="2">
                  <c:v>11400</c:v>
                </c:pt>
                <c:pt idx="3">
                  <c:v>17500</c:v>
                </c:pt>
                <c:pt idx="4">
                  <c:v>21200</c:v>
                </c:pt>
                <c:pt idx="5">
                  <c:v>21700</c:v>
                </c:pt>
                <c:pt idx="6">
                  <c:v>23100</c:v>
                </c:pt>
                <c:pt idx="7">
                  <c:v>24600</c:v>
                </c:pt>
                <c:pt idx="8">
                  <c:v>30600</c:v>
                </c:pt>
                <c:pt idx="9">
                  <c:v>33000</c:v>
                </c:pt>
                <c:pt idx="10">
                  <c:v>35700</c:v>
                </c:pt>
                <c:pt idx="11">
                  <c:v>40517</c:v>
                </c:pt>
                <c:pt idx="12">
                  <c:v>42300</c:v>
                </c:pt>
                <c:pt idx="13">
                  <c:v>48700</c:v>
                </c:pt>
                <c:pt idx="14">
                  <c:v>73500</c:v>
                </c:pt>
                <c:pt idx="15">
                  <c:v>77700</c:v>
                </c:pt>
                <c:pt idx="16">
                  <c:v>92650</c:v>
                </c:pt>
                <c:pt idx="17">
                  <c:v>106600</c:v>
                </c:pt>
                <c:pt idx="18">
                  <c:v>111000</c:v>
                </c:pt>
                <c:pt idx="19">
                  <c:v>162160</c:v>
                </c:pt>
                <c:pt idx="20">
                  <c:v>164500</c:v>
                </c:pt>
                <c:pt idx="21">
                  <c:v>201600</c:v>
                </c:pt>
                <c:pt idx="22">
                  <c:v>263800</c:v>
                </c:pt>
                <c:pt idx="23">
                  <c:v>280220</c:v>
                </c:pt>
                <c:pt idx="24">
                  <c:v>411850</c:v>
                </c:pt>
                <c:pt idx="25">
                  <c:v>437400</c:v>
                </c:pt>
                <c:pt idx="26">
                  <c:v>449750</c:v>
                </c:pt>
                <c:pt idx="27">
                  <c:v>761412.5</c:v>
                </c:pt>
                <c:pt idx="28">
                  <c:v>1613665</c:v>
                </c:pt>
                <c:pt idx="29">
                  <c:v>2512040</c:v>
                </c:pt>
              </c:numCache>
            </c:numRef>
          </c:val>
          <c:extLst>
            <c:ext xmlns:c16="http://schemas.microsoft.com/office/drawing/2014/chart" uri="{C3380CC4-5D6E-409C-BE32-E72D297353CC}">
              <c16:uniqueId val="{00000001-572A-496F-AF54-476512E1A456}"/>
            </c:ext>
          </c:extLst>
        </c:ser>
        <c:dLbls>
          <c:showLegendKey val="0"/>
          <c:showVal val="0"/>
          <c:showCatName val="0"/>
          <c:showSerName val="0"/>
          <c:showPercent val="0"/>
          <c:showBubbleSize val="0"/>
        </c:dLbls>
        <c:gapWidth val="150"/>
        <c:overlap val="100"/>
        <c:axId val="122624623"/>
        <c:axId val="122615983"/>
      </c:barChart>
      <c:catAx>
        <c:axId val="12262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5983"/>
        <c:crosses val="autoZero"/>
        <c:auto val="1"/>
        <c:lblAlgn val="ctr"/>
        <c:lblOffset val="100"/>
        <c:noMultiLvlLbl val="0"/>
      </c:catAx>
      <c:valAx>
        <c:axId val="12261598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[BCP 2.xlsx]Chart3!PivotTable1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Chart3!$C$4</c:f>
              <c:strCache>
                <c:ptCount val="1"/>
                <c:pt idx="0">
                  <c:v>Total</c:v>
                </c:pt>
              </c:strCache>
            </c:strRef>
          </c:tx>
          <c:spPr>
            <a:solidFill>
              <a:schemeClr val="accent1"/>
            </a:solidFill>
            <a:ln>
              <a:noFill/>
            </a:ln>
            <a:effectLst/>
          </c:spPr>
          <c:invertIfNegative val="0"/>
          <c:cat>
            <c:strRef>
              <c:f>Chart3!$B$5:$B$19</c:f>
              <c:strCache>
                <c:ptCount val="14"/>
                <c:pt idx="0">
                  <c:v>Butter</c:v>
                </c:pt>
                <c:pt idx="1">
                  <c:v>Coffee / Tea</c:v>
                </c:pt>
                <c:pt idx="2">
                  <c:v>Oral Care</c:v>
                </c:pt>
                <c:pt idx="3">
                  <c:v>Biscuits</c:v>
                </c:pt>
                <c:pt idx="4">
                  <c:v>Sugar</c:v>
                </c:pt>
                <c:pt idx="5">
                  <c:v>Spreads</c:v>
                </c:pt>
                <c:pt idx="6">
                  <c:v>Toileteries</c:v>
                </c:pt>
                <c:pt idx="7">
                  <c:v>Confectionary</c:v>
                </c:pt>
                <c:pt idx="8">
                  <c:v>Baby Food</c:v>
                </c:pt>
                <c:pt idx="9">
                  <c:v>Infant Care</c:v>
                </c:pt>
                <c:pt idx="10">
                  <c:v>Yoghurt</c:v>
                </c:pt>
                <c:pt idx="11">
                  <c:v>Cereal</c:v>
                </c:pt>
                <c:pt idx="12">
                  <c:v>Milk</c:v>
                </c:pt>
                <c:pt idx="13">
                  <c:v>Chocolate Beverage</c:v>
                </c:pt>
              </c:strCache>
            </c:strRef>
          </c:cat>
          <c:val>
            <c:numRef>
              <c:f>Chart3!$C$5:$C$19</c:f>
              <c:numCache>
                <c:formatCode>#,##0.00</c:formatCode>
                <c:ptCount val="14"/>
                <c:pt idx="0">
                  <c:v>7500</c:v>
                </c:pt>
                <c:pt idx="1">
                  <c:v>21200</c:v>
                </c:pt>
                <c:pt idx="2">
                  <c:v>24600</c:v>
                </c:pt>
                <c:pt idx="3">
                  <c:v>30140</c:v>
                </c:pt>
                <c:pt idx="4">
                  <c:v>73500</c:v>
                </c:pt>
                <c:pt idx="5">
                  <c:v>76217</c:v>
                </c:pt>
                <c:pt idx="6">
                  <c:v>104050</c:v>
                </c:pt>
                <c:pt idx="7">
                  <c:v>111000</c:v>
                </c:pt>
                <c:pt idx="8">
                  <c:v>267800</c:v>
                </c:pt>
                <c:pt idx="9">
                  <c:v>383800</c:v>
                </c:pt>
                <c:pt idx="10">
                  <c:v>437400</c:v>
                </c:pt>
                <c:pt idx="11">
                  <c:v>978212.5</c:v>
                </c:pt>
                <c:pt idx="12">
                  <c:v>2645395</c:v>
                </c:pt>
                <c:pt idx="13">
                  <c:v>2923890</c:v>
                </c:pt>
              </c:numCache>
            </c:numRef>
          </c:val>
          <c:extLst>
            <c:ext xmlns:c16="http://schemas.microsoft.com/office/drawing/2014/chart" uri="{C3380CC4-5D6E-409C-BE32-E72D297353CC}">
              <c16:uniqueId val="{00000001-DA9B-4DE9-A3BB-4DC4A2159FCA}"/>
            </c:ext>
          </c:extLst>
        </c:ser>
        <c:dLbls>
          <c:showLegendKey val="0"/>
          <c:showVal val="0"/>
          <c:showCatName val="0"/>
          <c:showSerName val="0"/>
          <c:showPercent val="0"/>
          <c:showBubbleSize val="0"/>
        </c:dLbls>
        <c:gapWidth val="150"/>
        <c:overlap val="100"/>
        <c:axId val="122624623"/>
        <c:axId val="122615983"/>
      </c:barChart>
      <c:catAx>
        <c:axId val="12262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5983"/>
        <c:crosses val="autoZero"/>
        <c:auto val="1"/>
        <c:lblAlgn val="ctr"/>
        <c:lblOffset val="100"/>
        <c:noMultiLvlLbl val="0"/>
      </c:catAx>
      <c:valAx>
        <c:axId val="1226159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[BCP 2.xlsx]Chart4!PivotTable1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contribution by top 10 producers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Chart4!$C$4</c:f>
              <c:strCache>
                <c:ptCount val="1"/>
                <c:pt idx="0">
                  <c:v>Total</c:v>
                </c:pt>
              </c:strCache>
            </c:strRef>
          </c:tx>
          <c:spPr>
            <a:solidFill>
              <a:schemeClr val="accent1"/>
            </a:solidFill>
            <a:ln>
              <a:noFill/>
            </a:ln>
            <a:effectLst/>
          </c:spPr>
          <c:invertIfNegative val="0"/>
          <c:cat>
            <c:strRef>
              <c:f>Chart4!$B$5:$B$23</c:f>
              <c:strCache>
                <c:ptCount val="18"/>
                <c:pt idx="0">
                  <c:v>Mikano Intl Limited</c:v>
                </c:pt>
                <c:pt idx="1">
                  <c:v>Procter and Gamble</c:v>
                </c:pt>
                <c:pt idx="2">
                  <c:v>Infinity Snacks and Beverages Limited</c:v>
                </c:pt>
                <c:pt idx="3">
                  <c:v>Tradedepot Imported</c:v>
                </c:pt>
                <c:pt idx="4">
                  <c:v>Unilever Nigeria Plc</c:v>
                </c:pt>
                <c:pt idx="5">
                  <c:v>GB Foods</c:v>
                </c:pt>
                <c:pt idx="6">
                  <c:v>MistaChoco</c:v>
                </c:pt>
                <c:pt idx="7">
                  <c:v>Dangote</c:v>
                </c:pt>
                <c:pt idx="8">
                  <c:v>PZ Cussons Nigeria Plc</c:v>
                </c:pt>
                <c:pt idx="9">
                  <c:v>Fastizers Food Confectionery</c:v>
                </c:pt>
                <c:pt idx="10">
                  <c:v>Nasco</c:v>
                </c:pt>
                <c:pt idx="11">
                  <c:v>Hayat Kimya Nigeria Limited</c:v>
                </c:pt>
                <c:pt idx="12">
                  <c:v>Cadbury Nigeria Plc</c:v>
                </c:pt>
                <c:pt idx="13">
                  <c:v>Chi Nigeria Limited</c:v>
                </c:pt>
                <c:pt idx="14">
                  <c:v>Promasidor</c:v>
                </c:pt>
                <c:pt idx="15">
                  <c:v>FrieslandCampina WAMCO Nigeria</c:v>
                </c:pt>
                <c:pt idx="16">
                  <c:v>Arla Foods</c:v>
                </c:pt>
                <c:pt idx="17">
                  <c:v>Nestle Nigeria Plc</c:v>
                </c:pt>
              </c:strCache>
            </c:strRef>
          </c:cat>
          <c:val>
            <c:numRef>
              <c:f>Chart4!$C$5:$C$23</c:f>
              <c:numCache>
                <c:formatCode>#,##0.00</c:formatCode>
                <c:ptCount val="18"/>
                <c:pt idx="0">
                  <c:v>7040</c:v>
                </c:pt>
                <c:pt idx="1">
                  <c:v>11400</c:v>
                </c:pt>
                <c:pt idx="2">
                  <c:v>21700</c:v>
                </c:pt>
                <c:pt idx="3">
                  <c:v>30600</c:v>
                </c:pt>
                <c:pt idx="4">
                  <c:v>32100</c:v>
                </c:pt>
                <c:pt idx="5">
                  <c:v>35700</c:v>
                </c:pt>
                <c:pt idx="6">
                  <c:v>40517</c:v>
                </c:pt>
                <c:pt idx="7">
                  <c:v>73500</c:v>
                </c:pt>
                <c:pt idx="8">
                  <c:v>92650</c:v>
                </c:pt>
                <c:pt idx="9">
                  <c:v>111000</c:v>
                </c:pt>
                <c:pt idx="10">
                  <c:v>187600</c:v>
                </c:pt>
                <c:pt idx="11">
                  <c:v>383800</c:v>
                </c:pt>
                <c:pt idx="12">
                  <c:v>411850</c:v>
                </c:pt>
                <c:pt idx="13">
                  <c:v>437400</c:v>
                </c:pt>
                <c:pt idx="14">
                  <c:v>482750</c:v>
                </c:pt>
                <c:pt idx="15">
                  <c:v>588420</c:v>
                </c:pt>
                <c:pt idx="16">
                  <c:v>1775825</c:v>
                </c:pt>
                <c:pt idx="17">
                  <c:v>3360852.5</c:v>
                </c:pt>
              </c:numCache>
            </c:numRef>
          </c:val>
          <c:extLst>
            <c:ext xmlns:c16="http://schemas.microsoft.com/office/drawing/2014/chart" uri="{C3380CC4-5D6E-409C-BE32-E72D297353CC}">
              <c16:uniqueId val="{00000000-80F2-4B9E-92C6-C0CA4582BF37}"/>
            </c:ext>
          </c:extLst>
        </c:ser>
        <c:dLbls>
          <c:showLegendKey val="0"/>
          <c:showVal val="0"/>
          <c:showCatName val="0"/>
          <c:showSerName val="0"/>
          <c:showPercent val="0"/>
          <c:showBubbleSize val="0"/>
        </c:dLbls>
        <c:gapWidth val="150"/>
        <c:axId val="122624623"/>
        <c:axId val="122615983"/>
      </c:barChart>
      <c:catAx>
        <c:axId val="12262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5983"/>
        <c:crosses val="autoZero"/>
        <c:auto val="1"/>
        <c:lblAlgn val="ctr"/>
        <c:lblOffset val="100"/>
        <c:noMultiLvlLbl val="0"/>
      </c:catAx>
      <c:valAx>
        <c:axId val="1226159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[BCP 2.xlsx]Chart6!PivotTable1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High Velocity Product Variant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barChart>
        <c:barDir val="bar"/>
        <c:grouping val="clustered"/>
        <c:varyColors val="0"/>
        <c:ser>
          <c:idx val="0"/>
          <c:order val="0"/>
          <c:tx>
            <c:strRef>
              <c:f>Chart6!$C$4</c:f>
              <c:strCache>
                <c:ptCount val="1"/>
                <c:pt idx="0">
                  <c:v>Total</c:v>
                </c:pt>
              </c:strCache>
            </c:strRef>
          </c:tx>
          <c:spPr>
            <a:solidFill>
              <a:schemeClr val="accent1"/>
            </a:solidFill>
            <a:ln>
              <a:noFill/>
            </a:ln>
            <a:effectLst/>
          </c:spPr>
          <c:invertIfNegative val="0"/>
          <c:cat>
            <c:strRef>
              <c:f>Chart6!$B$5:$B$15</c:f>
              <c:strCache>
                <c:ptCount val="10"/>
                <c:pt idx="0">
                  <c:v>Milo Activ-Go Sachet (800g + 100g Free) x 6</c:v>
                </c:pt>
                <c:pt idx="1">
                  <c:v>My Boy Eldorin Infant Formula 454g x 12</c:v>
                </c:pt>
                <c:pt idx="2">
                  <c:v>Cowbell Coffee 20g Sachet x 200</c:v>
                </c:pt>
                <c:pt idx="3">
                  <c:v>Dano Cool Cow Refill 350g x 12</c:v>
                </c:pt>
                <c:pt idx="4">
                  <c:v>Nestle Golden Morn 450g x 12</c:v>
                </c:pt>
                <c:pt idx="5">
                  <c:v>Cadbury Bournvita Sachet 20g x 200</c:v>
                </c:pt>
                <c:pt idx="6">
                  <c:v>Golden Morn 50g x100</c:v>
                </c:pt>
                <c:pt idx="7">
                  <c:v>Milo Activ-Go Sachet 400g x 10 + (20g x 10 Free)</c:v>
                </c:pt>
                <c:pt idx="8">
                  <c:v>Dano Cool Cow Sachet 12g x 260 + 30 Sachet Free</c:v>
                </c:pt>
                <c:pt idx="9">
                  <c:v>Milo Sachet 20g x 240</c:v>
                </c:pt>
              </c:strCache>
            </c:strRef>
          </c:cat>
          <c:val>
            <c:numRef>
              <c:f>Chart6!$C$5:$C$15</c:f>
              <c:numCache>
                <c:formatCode>#,##0.00</c:formatCode>
                <c:ptCount val="10"/>
                <c:pt idx="0">
                  <c:v>180900</c:v>
                </c:pt>
                <c:pt idx="1">
                  <c:v>201600</c:v>
                </c:pt>
                <c:pt idx="2">
                  <c:v>221000</c:v>
                </c:pt>
                <c:pt idx="3">
                  <c:v>293250</c:v>
                </c:pt>
                <c:pt idx="4">
                  <c:v>294275</c:v>
                </c:pt>
                <c:pt idx="5">
                  <c:v>339375</c:v>
                </c:pt>
                <c:pt idx="6">
                  <c:v>400087.5</c:v>
                </c:pt>
                <c:pt idx="7">
                  <c:v>588000</c:v>
                </c:pt>
                <c:pt idx="8">
                  <c:v>1154250</c:v>
                </c:pt>
                <c:pt idx="9">
                  <c:v>1596240</c:v>
                </c:pt>
              </c:numCache>
            </c:numRef>
          </c:val>
          <c:extLst>
            <c:ext xmlns:c16="http://schemas.microsoft.com/office/drawing/2014/chart" uri="{C3380CC4-5D6E-409C-BE32-E72D297353CC}">
              <c16:uniqueId val="{00000014-8E14-41AF-A071-A874548920FB}"/>
            </c:ext>
          </c:extLst>
        </c:ser>
        <c:dLbls>
          <c:showLegendKey val="0"/>
          <c:showVal val="0"/>
          <c:showCatName val="0"/>
          <c:showSerName val="0"/>
          <c:showPercent val="0"/>
          <c:showBubbleSize val="0"/>
        </c:dLbls>
        <c:gapWidth val="100"/>
        <c:axId val="305741375"/>
        <c:axId val="305750015"/>
      </c:barChart>
      <c:valAx>
        <c:axId val="305750015"/>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41375"/>
        <c:crosses val="autoZero"/>
        <c:crossBetween val="between"/>
      </c:valAx>
      <c:catAx>
        <c:axId val="3057413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500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[BCP 2.xlsx]Chart5!PivotTable1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Segmentation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s>
    <c:plotArea>
      <c:layout/>
      <c:doughnutChart>
        <c:varyColors val="1"/>
        <c:ser>
          <c:idx val="0"/>
          <c:order val="0"/>
          <c:tx>
            <c:strRef>
              <c:f>Chart5!$C$4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06D-45F6-AEC0-417651C7EA1A}"/>
              </c:ext>
            </c:extLst>
          </c:dPt>
          <c:dPt>
            <c:idx val="1"/>
            <c:bubble3D val="0"/>
            <c:spPr>
              <a:solidFill>
                <a:schemeClr val="accent2"/>
              </a:solidFill>
              <a:ln>
                <a:noFill/>
              </a:ln>
              <a:effectLst/>
            </c:spPr>
            <c:extLst>
              <c:ext xmlns:c16="http://schemas.microsoft.com/office/drawing/2014/chart" uri="{C3380CC4-5D6E-409C-BE32-E72D297353CC}">
                <c16:uniqueId val="{00000003-206D-45F6-AEC0-417651C7EA1A}"/>
              </c:ext>
            </c:extLst>
          </c:dPt>
          <c:dPt>
            <c:idx val="2"/>
            <c:bubble3D val="0"/>
            <c:spPr>
              <a:solidFill>
                <a:schemeClr val="accent3"/>
              </a:solidFill>
              <a:ln>
                <a:noFill/>
              </a:ln>
              <a:effectLst/>
            </c:spPr>
            <c:extLst>
              <c:ext xmlns:c16="http://schemas.microsoft.com/office/drawing/2014/chart" uri="{C3380CC4-5D6E-409C-BE32-E72D297353CC}">
                <c16:uniqueId val="{00000005-206D-45F6-AEC0-417651C7EA1A}"/>
              </c:ext>
            </c:extLst>
          </c:dPt>
          <c:dPt>
            <c:idx val="3"/>
            <c:bubble3D val="0"/>
            <c:spPr>
              <a:solidFill>
                <a:schemeClr val="accent4"/>
              </a:solidFill>
              <a:ln>
                <a:noFill/>
              </a:ln>
              <a:effectLst/>
            </c:spPr>
            <c:extLst>
              <c:ext xmlns:c16="http://schemas.microsoft.com/office/drawing/2014/chart" uri="{C3380CC4-5D6E-409C-BE32-E72D297353CC}">
                <c16:uniqueId val="{00000007-206D-45F6-AEC0-417651C7EA1A}"/>
              </c:ext>
            </c:extLst>
          </c:dPt>
          <c:dPt>
            <c:idx val="4"/>
            <c:bubble3D val="0"/>
            <c:spPr>
              <a:solidFill>
                <a:schemeClr val="accent5"/>
              </a:solidFill>
              <a:ln>
                <a:noFill/>
              </a:ln>
              <a:effectLst/>
            </c:spPr>
            <c:extLst>
              <c:ext xmlns:c16="http://schemas.microsoft.com/office/drawing/2014/chart" uri="{C3380CC4-5D6E-409C-BE32-E72D297353CC}">
                <c16:uniqueId val="{00000009-206D-45F6-AEC0-417651C7EA1A}"/>
              </c:ext>
            </c:extLst>
          </c:dPt>
          <c:dPt>
            <c:idx val="5"/>
            <c:bubble3D val="0"/>
            <c:spPr>
              <a:solidFill>
                <a:schemeClr val="accent6"/>
              </a:solidFill>
              <a:ln>
                <a:noFill/>
              </a:ln>
              <a:effectLst/>
            </c:spPr>
            <c:extLst>
              <c:ext xmlns:c16="http://schemas.microsoft.com/office/drawing/2014/chart" uri="{C3380CC4-5D6E-409C-BE32-E72D297353CC}">
                <c16:uniqueId val="{0000000B-206D-45F6-AEC0-417651C7EA1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06D-45F6-AEC0-417651C7EA1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06D-45F6-AEC0-417651C7EA1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06D-45F6-AEC0-417651C7EA1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06D-45F6-AEC0-417651C7EA1A}"/>
              </c:ext>
            </c:extLst>
          </c:dPt>
          <c:cat>
            <c:strRef>
              <c:f>Chart5!$B$5:$B$15</c:f>
              <c:strCache>
                <c:ptCount val="10"/>
                <c:pt idx="0">
                  <c:v>Rodam Enterprises</c:v>
                </c:pt>
                <c:pt idx="1">
                  <c:v>Simple N sweet foods</c:v>
                </c:pt>
                <c:pt idx="2">
                  <c:v>Hi Mart Minimart</c:v>
                </c:pt>
                <c:pt idx="3">
                  <c:v>Morfas Minimart</c:v>
                </c:pt>
                <c:pt idx="4">
                  <c:v>Grandy Minimarts</c:v>
                </c:pt>
                <c:pt idx="5">
                  <c:v>David Minimart</c:v>
                </c:pt>
                <c:pt idx="6">
                  <c:v>Akinro Minimart</c:v>
                </c:pt>
                <c:pt idx="7">
                  <c:v>Brasq</c:v>
                </c:pt>
                <c:pt idx="8">
                  <c:v>Heritage Steve Super Minimarts</c:v>
                </c:pt>
                <c:pt idx="9">
                  <c:v>Alhaja</c:v>
                </c:pt>
              </c:strCache>
            </c:strRef>
          </c:cat>
          <c:val>
            <c:numRef>
              <c:f>Chart5!$C$5:$C$15</c:f>
              <c:numCache>
                <c:formatCode>#,##0.00</c:formatCode>
                <c:ptCount val="10"/>
                <c:pt idx="0">
                  <c:v>2107960</c:v>
                </c:pt>
                <c:pt idx="1">
                  <c:v>673940</c:v>
                </c:pt>
                <c:pt idx="2">
                  <c:v>543575</c:v>
                </c:pt>
                <c:pt idx="3">
                  <c:v>495250</c:v>
                </c:pt>
                <c:pt idx="4">
                  <c:v>325750</c:v>
                </c:pt>
                <c:pt idx="5">
                  <c:v>225850</c:v>
                </c:pt>
                <c:pt idx="6">
                  <c:v>216800</c:v>
                </c:pt>
                <c:pt idx="7">
                  <c:v>168400</c:v>
                </c:pt>
                <c:pt idx="8">
                  <c:v>153200</c:v>
                </c:pt>
                <c:pt idx="9">
                  <c:v>129620</c:v>
                </c:pt>
              </c:numCache>
            </c:numRef>
          </c:val>
          <c:extLst>
            <c:ext xmlns:c16="http://schemas.microsoft.com/office/drawing/2014/chart" uri="{C3380CC4-5D6E-409C-BE32-E72D297353CC}">
              <c16:uniqueId val="{00000000-30EA-4641-B661-0FD99E6FF44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[BCP 2.xlsx]Chart7!PivotTable1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Volume by Order Channel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Chart7!$C$4</c:f>
              <c:strCache>
                <c:ptCount val="1"/>
                <c:pt idx="0">
                  <c:v>Total</c:v>
                </c:pt>
              </c:strCache>
            </c:strRef>
          </c:tx>
          <c:spPr>
            <a:solidFill>
              <a:schemeClr val="accent1"/>
            </a:solidFill>
            <a:ln>
              <a:noFill/>
            </a:ln>
            <a:effectLst/>
          </c:spPr>
          <c:invertIfNegative val="0"/>
          <c:cat>
            <c:strRef>
              <c:f>Chart7!$B$5:$B$8</c:f>
              <c:strCache>
                <c:ptCount val="3"/>
                <c:pt idx="0">
                  <c:v>Mobile App</c:v>
                </c:pt>
                <c:pt idx="1">
                  <c:v>USSD</c:v>
                </c:pt>
                <c:pt idx="2">
                  <c:v>Whatsapp</c:v>
                </c:pt>
              </c:strCache>
            </c:strRef>
          </c:cat>
          <c:val>
            <c:numRef>
              <c:f>Chart7!$C$5:$C$8</c:f>
              <c:numCache>
                <c:formatCode>#,##0.00</c:formatCode>
                <c:ptCount val="3"/>
                <c:pt idx="0">
                  <c:v>3879192.5</c:v>
                </c:pt>
                <c:pt idx="1">
                  <c:v>1387212</c:v>
                </c:pt>
                <c:pt idx="2">
                  <c:v>2818300</c:v>
                </c:pt>
              </c:numCache>
            </c:numRef>
          </c:val>
          <c:extLst>
            <c:ext xmlns:c16="http://schemas.microsoft.com/office/drawing/2014/chart" uri="{C3380CC4-5D6E-409C-BE32-E72D297353CC}">
              <c16:uniqueId val="{00000000-AE6F-412B-9365-8F7AA450CC17}"/>
            </c:ext>
          </c:extLst>
        </c:ser>
        <c:dLbls>
          <c:showLegendKey val="0"/>
          <c:showVal val="0"/>
          <c:showCatName val="0"/>
          <c:showSerName val="0"/>
          <c:showPercent val="0"/>
          <c:showBubbleSize val="0"/>
        </c:dLbls>
        <c:gapWidth val="100"/>
        <c:axId val="305741375"/>
        <c:axId val="305750015"/>
      </c:barChart>
      <c:valAx>
        <c:axId val="30575001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41375"/>
        <c:crosses val="autoZero"/>
        <c:crossBetween val="between"/>
      </c:valAx>
      <c:catAx>
        <c:axId val="305741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500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hart1!A1"/><Relationship Id="rId13" Type="http://schemas.openxmlformats.org/officeDocument/2006/relationships/hyperlink" Target="#Chart6!A1"/><Relationship Id="rId18" Type="http://schemas.openxmlformats.org/officeDocument/2006/relationships/image" Target="../media/image4.svg"/><Relationship Id="rId3" Type="http://schemas.openxmlformats.org/officeDocument/2006/relationships/chart" Target="../charts/chart3.xml"/><Relationship Id="rId21" Type="http://schemas.openxmlformats.org/officeDocument/2006/relationships/image" Target="../media/image7.png"/><Relationship Id="rId7" Type="http://schemas.openxmlformats.org/officeDocument/2006/relationships/chart" Target="../charts/chart7.xml"/><Relationship Id="rId12" Type="http://schemas.openxmlformats.org/officeDocument/2006/relationships/hyperlink" Target="#Chart5!A1"/><Relationship Id="rId17" Type="http://schemas.openxmlformats.org/officeDocument/2006/relationships/image" Target="../media/image3.png"/><Relationship Id="rId2" Type="http://schemas.openxmlformats.org/officeDocument/2006/relationships/chart" Target="../charts/chart2.xml"/><Relationship Id="rId16" Type="http://schemas.openxmlformats.org/officeDocument/2006/relationships/image" Target="../media/image2.svg"/><Relationship Id="rId20" Type="http://schemas.openxmlformats.org/officeDocument/2006/relationships/image" Target="../media/image6.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Chart4!A1"/><Relationship Id="rId5" Type="http://schemas.openxmlformats.org/officeDocument/2006/relationships/chart" Target="../charts/chart5.xml"/><Relationship Id="rId15" Type="http://schemas.openxmlformats.org/officeDocument/2006/relationships/image" Target="../media/image1.png"/><Relationship Id="rId10" Type="http://schemas.openxmlformats.org/officeDocument/2006/relationships/hyperlink" Target="#Chart3!A1"/><Relationship Id="rId19"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hyperlink" Target="#Chart2!A1"/><Relationship Id="rId14" Type="http://schemas.openxmlformats.org/officeDocument/2006/relationships/hyperlink" Target="#Chart7!A1"/><Relationship Id="rId22" Type="http://schemas.openxmlformats.org/officeDocument/2006/relationships/image" Target="../media/image8.svg"/></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74340</xdr:colOff>
      <xdr:row>11</xdr:row>
      <xdr:rowOff>130580</xdr:rowOff>
    </xdr:from>
    <xdr:to>
      <xdr:col>4</xdr:col>
      <xdr:colOff>455897</xdr:colOff>
      <xdr:row>53</xdr:row>
      <xdr:rowOff>61767</xdr:rowOff>
    </xdr:to>
    <xdr:grpSp>
      <xdr:nvGrpSpPr>
        <xdr:cNvPr id="13" name="Group 12">
          <a:extLst>
            <a:ext uri="{FF2B5EF4-FFF2-40B4-BE49-F238E27FC236}">
              <a16:creationId xmlns:a16="http://schemas.microsoft.com/office/drawing/2014/main" id="{A81B2F1B-E862-675A-D47C-F9503AEEA210}"/>
            </a:ext>
          </a:extLst>
        </xdr:cNvPr>
        <xdr:cNvGrpSpPr/>
      </xdr:nvGrpSpPr>
      <xdr:grpSpPr>
        <a:xfrm>
          <a:off x="74340" y="2491986"/>
          <a:ext cx="2842182" cy="7432125"/>
          <a:chOff x="178458" y="2203339"/>
          <a:chExt cx="3014997" cy="7612254"/>
        </a:xfrm>
      </xdr:grpSpPr>
      <mc:AlternateContent xmlns:mc="http://schemas.openxmlformats.org/markup-compatibility/2006">
        <mc:Choice xmlns:a14="http://schemas.microsoft.com/office/drawing/2010/main" Requires="a14">
          <xdr:graphicFrame macro="">
            <xdr:nvGraphicFramePr>
              <xdr:cNvPr id="10" name="Months">
                <a:extLst>
                  <a:ext uri="{FF2B5EF4-FFF2-40B4-BE49-F238E27FC236}">
                    <a16:creationId xmlns:a16="http://schemas.microsoft.com/office/drawing/2014/main" id="{CA907B97-AD47-0044-C88B-923C09D47DC5}"/>
                  </a:ext>
                </a:extLst>
              </xdr:cNvPr>
              <xdr:cNvGraphicFramePr/>
            </xdr:nvGraphicFramePr>
            <xdr:xfrm>
              <a:off x="184667" y="8494006"/>
              <a:ext cx="3002579" cy="1321587"/>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80193" y="8633797"/>
                <a:ext cx="2830476" cy="1290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Producer">
                <a:extLst>
                  <a:ext uri="{FF2B5EF4-FFF2-40B4-BE49-F238E27FC236}">
                    <a16:creationId xmlns:a16="http://schemas.microsoft.com/office/drawing/2014/main" id="{43F51517-09F1-407B-0563-8F5ED4254A8F}"/>
                  </a:ext>
                </a:extLst>
              </xdr:cNvPr>
              <xdr:cNvGraphicFramePr/>
            </xdr:nvGraphicFramePr>
            <xdr:xfrm>
              <a:off x="183867" y="6711884"/>
              <a:ext cx="3001576" cy="1662475"/>
            </xdr:xfrm>
            <a:graphic>
              <a:graphicData uri="http://schemas.microsoft.com/office/drawing/2010/slicer">
                <sle:slicer xmlns:sle="http://schemas.microsoft.com/office/drawing/2010/slicer" name="Producer"/>
              </a:graphicData>
            </a:graphic>
          </xdr:graphicFrame>
        </mc:Choice>
        <mc:Fallback>
          <xdr:sp macro="" textlink="">
            <xdr:nvSpPr>
              <xdr:cNvPr id="0" name=""/>
              <xdr:cNvSpPr>
                <a:spLocks noTextEdit="1"/>
              </xdr:cNvSpPr>
            </xdr:nvSpPr>
            <xdr:spPr>
              <a:xfrm>
                <a:off x="79439" y="6893845"/>
                <a:ext cx="2829530" cy="1623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 name="Product">
                <a:extLst>
                  <a:ext uri="{FF2B5EF4-FFF2-40B4-BE49-F238E27FC236}">
                    <a16:creationId xmlns:a16="http://schemas.microsoft.com/office/drawing/2014/main" id="{1E352B13-1E33-F610-66D8-13BB772B7380}"/>
                  </a:ext>
                </a:extLst>
              </xdr:cNvPr>
              <xdr:cNvGraphicFramePr/>
            </xdr:nvGraphicFramePr>
            <xdr:xfrm>
              <a:off x="182064" y="5020883"/>
              <a:ext cx="3001576" cy="1571355"/>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7739" y="5242858"/>
                <a:ext cx="2829530" cy="1534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4F2168A2-84FC-A6FD-529D-98E657E7BCC9}"/>
                  </a:ext>
                </a:extLst>
              </xdr:cNvPr>
              <xdr:cNvGraphicFramePr>
                <a:graphicFrameLocks/>
              </xdr:cNvGraphicFramePr>
            </xdr:nvGraphicFramePr>
            <xdr:xfrm>
              <a:off x="180261" y="3326934"/>
              <a:ext cx="3001576" cy="1574303"/>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040" y="3588993"/>
                <a:ext cx="2829530" cy="1537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Order Channel">
                <a:extLst>
                  <a:ext uri="{FF2B5EF4-FFF2-40B4-BE49-F238E27FC236}">
                    <a16:creationId xmlns:a16="http://schemas.microsoft.com/office/drawing/2014/main" id="{2B51896F-F3F8-F52D-1293-DBDED64B8037}"/>
                  </a:ext>
                </a:extLst>
              </xdr:cNvPr>
              <xdr:cNvGraphicFramePr/>
            </xdr:nvGraphicFramePr>
            <xdr:xfrm>
              <a:off x="178458" y="2203339"/>
              <a:ext cx="3014997" cy="1003949"/>
            </xdr:xfrm>
            <a:graphic>
              <a:graphicData uri="http://schemas.microsoft.com/office/drawing/2010/slicer">
                <sle:slicer xmlns:sle="http://schemas.microsoft.com/office/drawing/2010/slicer" name="Order Channel"/>
              </a:graphicData>
            </a:graphic>
          </xdr:graphicFrame>
        </mc:Choice>
        <mc:Fallback>
          <xdr:sp macro="" textlink="">
            <xdr:nvSpPr>
              <xdr:cNvPr id="0" name=""/>
              <xdr:cNvSpPr>
                <a:spLocks noTextEdit="1"/>
              </xdr:cNvSpPr>
            </xdr:nvSpPr>
            <xdr:spPr>
              <a:xfrm>
                <a:off x="74340" y="2491986"/>
                <a:ext cx="2842182" cy="980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oneCellAnchor>
    <xdr:from>
      <xdr:col>12</xdr:col>
      <xdr:colOff>549701</xdr:colOff>
      <xdr:row>7</xdr:row>
      <xdr:rowOff>9478</xdr:rowOff>
    </xdr:from>
    <xdr:ext cx="184731" cy="264560"/>
    <xdr:sp macro="" textlink="">
      <xdr:nvSpPr>
        <xdr:cNvPr id="23" name="TextBox 22">
          <a:extLst>
            <a:ext uri="{FF2B5EF4-FFF2-40B4-BE49-F238E27FC236}">
              <a16:creationId xmlns:a16="http://schemas.microsoft.com/office/drawing/2014/main" id="{5D65254F-E10E-4F55-7E36-F090FF4B5F45}"/>
            </a:ext>
          </a:extLst>
        </xdr:cNvPr>
        <xdr:cNvSpPr txBox="1"/>
      </xdr:nvSpPr>
      <xdr:spPr>
        <a:xfrm>
          <a:off x="7828507" y="1668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521025</xdr:colOff>
      <xdr:row>7</xdr:row>
      <xdr:rowOff>40561</xdr:rowOff>
    </xdr:from>
    <xdr:to>
      <xdr:col>26</xdr:col>
      <xdr:colOff>405755</xdr:colOff>
      <xdr:row>55</xdr:row>
      <xdr:rowOff>48846</xdr:rowOff>
    </xdr:to>
    <xdr:grpSp>
      <xdr:nvGrpSpPr>
        <xdr:cNvPr id="56" name="Group 55">
          <a:extLst>
            <a:ext uri="{FF2B5EF4-FFF2-40B4-BE49-F238E27FC236}">
              <a16:creationId xmlns:a16="http://schemas.microsoft.com/office/drawing/2014/main" id="{465AB527-7D3A-D896-3312-9FDFA5F8DD47}"/>
            </a:ext>
          </a:extLst>
        </xdr:cNvPr>
        <xdr:cNvGrpSpPr/>
      </xdr:nvGrpSpPr>
      <xdr:grpSpPr>
        <a:xfrm>
          <a:off x="2981650" y="1687592"/>
          <a:ext cx="13418168" cy="8580785"/>
          <a:chOff x="3180374" y="1831233"/>
          <a:chExt cx="13251874" cy="8437411"/>
        </a:xfrm>
      </xdr:grpSpPr>
      <xdr:graphicFrame macro="">
        <xdr:nvGraphicFramePr>
          <xdr:cNvPr id="2" name="Chart 1">
            <a:extLst>
              <a:ext uri="{FF2B5EF4-FFF2-40B4-BE49-F238E27FC236}">
                <a16:creationId xmlns:a16="http://schemas.microsoft.com/office/drawing/2014/main" id="{14A9E2BD-7ACE-4738-BF93-1DB6F702BF03}"/>
              </a:ext>
            </a:extLst>
          </xdr:cNvPr>
          <xdr:cNvGraphicFramePr>
            <a:graphicFrameLocks/>
          </xdr:cNvGraphicFramePr>
        </xdr:nvGraphicFramePr>
        <xdr:xfrm>
          <a:off x="3180374" y="1831345"/>
          <a:ext cx="5477971" cy="267275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09EEC09E-7AC5-43D8-B160-CEA2F4EF88AC}"/>
              </a:ext>
            </a:extLst>
          </xdr:cNvPr>
          <xdr:cNvGraphicFramePr>
            <a:graphicFrameLocks/>
          </xdr:cNvGraphicFramePr>
        </xdr:nvGraphicFramePr>
        <xdr:xfrm>
          <a:off x="8843649" y="1831233"/>
          <a:ext cx="4374666" cy="267287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C253140E-A411-4F1E-A83C-D20EADB2F161}"/>
              </a:ext>
            </a:extLst>
          </xdr:cNvPr>
          <xdr:cNvGraphicFramePr>
            <a:graphicFrameLocks/>
          </xdr:cNvGraphicFramePr>
        </xdr:nvGraphicFramePr>
        <xdr:xfrm>
          <a:off x="12086768" y="4718921"/>
          <a:ext cx="4333608" cy="267287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5D454F6D-0F4F-4B28-91D7-77DEAB231C92}"/>
              </a:ext>
            </a:extLst>
          </xdr:cNvPr>
          <xdr:cNvGraphicFramePr>
            <a:graphicFrameLocks/>
          </xdr:cNvGraphicFramePr>
        </xdr:nvGraphicFramePr>
        <xdr:xfrm>
          <a:off x="3180374" y="4718921"/>
          <a:ext cx="4747927" cy="267287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48E93114-4EF2-4194-A6BC-8513CDE4A599}"/>
              </a:ext>
            </a:extLst>
          </xdr:cNvPr>
          <xdr:cNvGraphicFramePr>
            <a:graphicFrameLocks/>
          </xdr:cNvGraphicFramePr>
        </xdr:nvGraphicFramePr>
        <xdr:xfrm>
          <a:off x="8116118" y="4718921"/>
          <a:ext cx="3760829" cy="267287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6D19C340-EAB4-4EEB-B131-B62F74A7B179}"/>
              </a:ext>
            </a:extLst>
          </xdr:cNvPr>
          <xdr:cNvGraphicFramePr>
            <a:graphicFrameLocks/>
          </xdr:cNvGraphicFramePr>
        </xdr:nvGraphicFramePr>
        <xdr:xfrm>
          <a:off x="3214634" y="7595774"/>
          <a:ext cx="13205742" cy="267287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8" name="Chart 7">
            <a:extLst>
              <a:ext uri="{FF2B5EF4-FFF2-40B4-BE49-F238E27FC236}">
                <a16:creationId xmlns:a16="http://schemas.microsoft.com/office/drawing/2014/main" id="{2A305E45-5232-4FBD-AC5E-C59B3E50BC33}"/>
              </a:ext>
            </a:extLst>
          </xdr:cNvPr>
          <xdr:cNvGraphicFramePr>
            <a:graphicFrameLocks/>
          </xdr:cNvGraphicFramePr>
        </xdr:nvGraphicFramePr>
        <xdr:xfrm>
          <a:off x="13376378" y="1831233"/>
          <a:ext cx="3023188" cy="2627571"/>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6" name="TextBox 35">
            <a:hlinkClick xmlns:r="http://schemas.openxmlformats.org/officeDocument/2006/relationships" r:id="rId8"/>
            <a:extLst>
              <a:ext uri="{FF2B5EF4-FFF2-40B4-BE49-F238E27FC236}">
                <a16:creationId xmlns:a16="http://schemas.microsoft.com/office/drawing/2014/main" id="{F31644E0-9F9B-4653-CF63-73DD6EA701C7}"/>
              </a:ext>
            </a:extLst>
          </xdr:cNvPr>
          <xdr:cNvSpPr txBox="1"/>
        </xdr:nvSpPr>
        <xdr:spPr>
          <a:xfrm>
            <a:off x="8065052" y="1863035"/>
            <a:ext cx="581991" cy="411369"/>
          </a:xfrm>
          <a:prstGeom prst="rect">
            <a:avLst/>
          </a:prstGeom>
          <a:solidFill>
            <a:schemeClr val="bg2">
              <a:lumMod val="50000"/>
            </a:schemeClr>
          </a:solidFill>
          <a:ln w="28575" cmpd="sng">
            <a:solidFill>
              <a:schemeClr val="tx2">
                <a:lumMod val="50000"/>
                <a:lumOff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t>1</a:t>
            </a:r>
          </a:p>
        </xdr:txBody>
      </xdr:sp>
      <xdr:sp macro="" textlink="">
        <xdr:nvSpPr>
          <xdr:cNvPr id="37" name="TextBox 36">
            <a:hlinkClick xmlns:r="http://schemas.openxmlformats.org/officeDocument/2006/relationships" r:id="rId9"/>
            <a:extLst>
              <a:ext uri="{FF2B5EF4-FFF2-40B4-BE49-F238E27FC236}">
                <a16:creationId xmlns:a16="http://schemas.microsoft.com/office/drawing/2014/main" id="{755071BE-981B-DE3C-A5F7-2ED5103734D9}"/>
              </a:ext>
            </a:extLst>
          </xdr:cNvPr>
          <xdr:cNvSpPr txBox="1"/>
        </xdr:nvSpPr>
        <xdr:spPr>
          <a:xfrm>
            <a:off x="12633187" y="1864139"/>
            <a:ext cx="580992" cy="413269"/>
          </a:xfrm>
          <a:prstGeom prst="rect">
            <a:avLst/>
          </a:prstGeom>
          <a:solidFill>
            <a:schemeClr val="bg2">
              <a:lumMod val="50000"/>
            </a:schemeClr>
          </a:solidFill>
          <a:ln w="28575" cmpd="sng">
            <a:solidFill>
              <a:schemeClr val="tx2">
                <a:lumMod val="50000"/>
                <a:lumOff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2</a:t>
            </a:r>
          </a:p>
        </xdr:txBody>
      </xdr:sp>
      <xdr:sp macro="" textlink="">
        <xdr:nvSpPr>
          <xdr:cNvPr id="38" name="TextBox 37">
            <a:hlinkClick xmlns:r="http://schemas.openxmlformats.org/officeDocument/2006/relationships" r:id="rId10"/>
            <a:extLst>
              <a:ext uri="{FF2B5EF4-FFF2-40B4-BE49-F238E27FC236}">
                <a16:creationId xmlns:a16="http://schemas.microsoft.com/office/drawing/2014/main" id="{B9285846-4789-508D-770D-3383D9B2DBFA}"/>
              </a:ext>
            </a:extLst>
          </xdr:cNvPr>
          <xdr:cNvSpPr txBox="1"/>
        </xdr:nvSpPr>
        <xdr:spPr>
          <a:xfrm>
            <a:off x="15851257" y="4748695"/>
            <a:ext cx="580991" cy="424313"/>
          </a:xfrm>
          <a:prstGeom prst="rect">
            <a:avLst/>
          </a:prstGeom>
          <a:solidFill>
            <a:schemeClr val="bg2">
              <a:lumMod val="50000"/>
            </a:schemeClr>
          </a:solidFill>
          <a:ln w="28575" cmpd="sng">
            <a:solidFill>
              <a:schemeClr val="tx2">
                <a:lumMod val="50000"/>
                <a:lumOff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t>3</a:t>
            </a:r>
          </a:p>
        </xdr:txBody>
      </xdr:sp>
      <xdr:sp macro="" textlink="">
        <xdr:nvSpPr>
          <xdr:cNvPr id="39" name="TextBox 38">
            <a:hlinkClick xmlns:r="http://schemas.openxmlformats.org/officeDocument/2006/relationships" r:id="rId11"/>
            <a:extLst>
              <a:ext uri="{FF2B5EF4-FFF2-40B4-BE49-F238E27FC236}">
                <a16:creationId xmlns:a16="http://schemas.microsoft.com/office/drawing/2014/main" id="{38B1969E-26C1-A521-9671-09466A93515A}"/>
              </a:ext>
            </a:extLst>
          </xdr:cNvPr>
          <xdr:cNvSpPr txBox="1"/>
        </xdr:nvSpPr>
        <xdr:spPr>
          <a:xfrm>
            <a:off x="7303053" y="4747038"/>
            <a:ext cx="580991" cy="413270"/>
          </a:xfrm>
          <a:prstGeom prst="rect">
            <a:avLst/>
          </a:prstGeom>
          <a:solidFill>
            <a:schemeClr val="bg2">
              <a:lumMod val="50000"/>
            </a:schemeClr>
          </a:solidFill>
          <a:ln w="28575" cmpd="sng">
            <a:solidFill>
              <a:schemeClr val="tx2">
                <a:lumMod val="50000"/>
                <a:lumOff val="50000"/>
              </a:schemeClr>
            </a:solidFill>
          </a:ln>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4</a:t>
            </a:r>
          </a:p>
        </xdr:txBody>
      </xdr:sp>
      <xdr:sp macro="" textlink="">
        <xdr:nvSpPr>
          <xdr:cNvPr id="40" name="TextBox 39">
            <a:hlinkClick xmlns:r="http://schemas.openxmlformats.org/officeDocument/2006/relationships" r:id="rId12"/>
            <a:extLst>
              <a:ext uri="{FF2B5EF4-FFF2-40B4-BE49-F238E27FC236}">
                <a16:creationId xmlns:a16="http://schemas.microsoft.com/office/drawing/2014/main" id="{51447043-8949-36B5-1651-3CBCAECDB740}"/>
              </a:ext>
            </a:extLst>
          </xdr:cNvPr>
          <xdr:cNvSpPr txBox="1"/>
        </xdr:nvSpPr>
        <xdr:spPr>
          <a:xfrm>
            <a:off x="11305210" y="4719430"/>
            <a:ext cx="580991" cy="413270"/>
          </a:xfrm>
          <a:prstGeom prst="rect">
            <a:avLst/>
          </a:prstGeom>
          <a:solidFill>
            <a:schemeClr val="bg2">
              <a:lumMod val="50000"/>
            </a:schemeClr>
          </a:solidFill>
          <a:ln w="28575" cmpd="sng">
            <a:solidFill>
              <a:schemeClr val="tx2">
                <a:lumMod val="50000"/>
                <a:lumOff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5</a:t>
            </a:r>
          </a:p>
        </xdr:txBody>
      </xdr:sp>
      <xdr:sp macro="" textlink="">
        <xdr:nvSpPr>
          <xdr:cNvPr id="41" name="TextBox 40">
            <a:hlinkClick xmlns:r="http://schemas.openxmlformats.org/officeDocument/2006/relationships" r:id="rId13"/>
            <a:extLst>
              <a:ext uri="{FF2B5EF4-FFF2-40B4-BE49-F238E27FC236}">
                <a16:creationId xmlns:a16="http://schemas.microsoft.com/office/drawing/2014/main" id="{D7EFD845-015C-356C-07E8-12BCB799D14D}"/>
              </a:ext>
            </a:extLst>
          </xdr:cNvPr>
          <xdr:cNvSpPr txBox="1"/>
        </xdr:nvSpPr>
        <xdr:spPr>
          <a:xfrm>
            <a:off x="15836348" y="7620000"/>
            <a:ext cx="580991" cy="424313"/>
          </a:xfrm>
          <a:prstGeom prst="rect">
            <a:avLst/>
          </a:prstGeom>
          <a:solidFill>
            <a:schemeClr val="bg2">
              <a:lumMod val="50000"/>
            </a:schemeClr>
          </a:solidFill>
          <a:ln w="28575" cmpd="sng">
            <a:solidFill>
              <a:schemeClr val="tx2">
                <a:lumMod val="50000"/>
                <a:lumOff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6</a:t>
            </a:r>
          </a:p>
        </xdr:txBody>
      </xdr:sp>
      <xdr:sp macro="" textlink="">
        <xdr:nvSpPr>
          <xdr:cNvPr id="42" name="TextBox 41">
            <a:hlinkClick xmlns:r="http://schemas.openxmlformats.org/officeDocument/2006/relationships" r:id="rId14"/>
            <a:extLst>
              <a:ext uri="{FF2B5EF4-FFF2-40B4-BE49-F238E27FC236}">
                <a16:creationId xmlns:a16="http://schemas.microsoft.com/office/drawing/2014/main" id="{37908C29-F3E4-9179-5B10-0E2578505CE3}"/>
              </a:ext>
            </a:extLst>
          </xdr:cNvPr>
          <xdr:cNvSpPr txBox="1"/>
        </xdr:nvSpPr>
        <xdr:spPr>
          <a:xfrm>
            <a:off x="15824751" y="2161762"/>
            <a:ext cx="580991" cy="424313"/>
          </a:xfrm>
          <a:prstGeom prst="rect">
            <a:avLst/>
          </a:prstGeom>
          <a:solidFill>
            <a:schemeClr val="bg2">
              <a:lumMod val="50000"/>
            </a:schemeClr>
          </a:solidFill>
          <a:ln w="28575" cmpd="sng">
            <a:solidFill>
              <a:schemeClr val="tx2">
                <a:lumMod val="50000"/>
                <a:lumOff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7</a:t>
            </a:r>
          </a:p>
        </xdr:txBody>
      </xdr:sp>
    </xdr:grpSp>
    <xdr:clientData/>
  </xdr:twoCellAnchor>
  <xdr:twoCellAnchor editAs="oneCell">
    <xdr:from>
      <xdr:col>15</xdr:col>
      <xdr:colOff>385700</xdr:colOff>
      <xdr:row>3</xdr:row>
      <xdr:rowOff>36285</xdr:rowOff>
    </xdr:from>
    <xdr:to>
      <xdr:col>17</xdr:col>
      <xdr:colOff>100370</xdr:colOff>
      <xdr:row>6</xdr:row>
      <xdr:rowOff>1</xdr:rowOff>
    </xdr:to>
    <xdr:pic>
      <xdr:nvPicPr>
        <xdr:cNvPr id="114" name="Graphic 113" descr="Customer review with solid fill">
          <a:extLst>
            <a:ext uri="{FF2B5EF4-FFF2-40B4-BE49-F238E27FC236}">
              <a16:creationId xmlns:a16="http://schemas.microsoft.com/office/drawing/2014/main" id="{2AB748CC-2CBD-4101-A5BB-601F3CA50B8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638557" y="979714"/>
          <a:ext cx="948384" cy="508001"/>
        </a:xfrm>
        <a:prstGeom prst="rect">
          <a:avLst/>
        </a:prstGeom>
      </xdr:spPr>
    </xdr:pic>
    <xdr:clientData/>
  </xdr:twoCellAnchor>
  <xdr:twoCellAnchor editAs="oneCell">
    <xdr:from>
      <xdr:col>20</xdr:col>
      <xdr:colOff>0</xdr:colOff>
      <xdr:row>2</xdr:row>
      <xdr:rowOff>163286</xdr:rowOff>
    </xdr:from>
    <xdr:to>
      <xdr:col>21</xdr:col>
      <xdr:colOff>590569</xdr:colOff>
      <xdr:row>6</xdr:row>
      <xdr:rowOff>110157</xdr:rowOff>
    </xdr:to>
    <xdr:pic>
      <xdr:nvPicPr>
        <xdr:cNvPr id="115" name="Graphic 114" descr="Box with solid fill">
          <a:extLst>
            <a:ext uri="{FF2B5EF4-FFF2-40B4-BE49-F238E27FC236}">
              <a16:creationId xmlns:a16="http://schemas.microsoft.com/office/drawing/2014/main" id="{B8DF3B9C-0AB3-40B2-B875-E758D298112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337143" y="925286"/>
          <a:ext cx="1207426" cy="672585"/>
        </a:xfrm>
        <a:prstGeom prst="rect">
          <a:avLst/>
        </a:prstGeom>
      </xdr:spPr>
    </xdr:pic>
    <xdr:clientData/>
  </xdr:twoCellAnchor>
  <xdr:twoCellAnchor>
    <xdr:from>
      <xdr:col>5</xdr:col>
      <xdr:colOff>199100</xdr:colOff>
      <xdr:row>1</xdr:row>
      <xdr:rowOff>15471</xdr:rowOff>
    </xdr:from>
    <xdr:to>
      <xdr:col>23</xdr:col>
      <xdr:colOff>543842</xdr:colOff>
      <xdr:row>7</xdr:row>
      <xdr:rowOff>13072</xdr:rowOff>
    </xdr:to>
    <xdr:grpSp>
      <xdr:nvGrpSpPr>
        <xdr:cNvPr id="123" name="Group 122">
          <a:extLst>
            <a:ext uri="{FF2B5EF4-FFF2-40B4-BE49-F238E27FC236}">
              <a16:creationId xmlns:a16="http://schemas.microsoft.com/office/drawing/2014/main" id="{42302AEF-563D-9B5C-549E-22FBF525CD01}"/>
            </a:ext>
          </a:extLst>
        </xdr:cNvPr>
        <xdr:cNvGrpSpPr/>
      </xdr:nvGrpSpPr>
      <xdr:grpSpPr>
        <a:xfrm>
          <a:off x="3274881" y="590940"/>
          <a:ext cx="11417555" cy="1069163"/>
          <a:chOff x="3579989" y="561707"/>
          <a:chExt cx="11183337" cy="1066964"/>
        </a:xfrm>
      </xdr:grpSpPr>
      <xdr:grpSp>
        <xdr:nvGrpSpPr>
          <xdr:cNvPr id="109" name="Group 108">
            <a:extLst>
              <a:ext uri="{FF2B5EF4-FFF2-40B4-BE49-F238E27FC236}">
                <a16:creationId xmlns:a16="http://schemas.microsoft.com/office/drawing/2014/main" id="{30CF134B-283A-716D-80A6-F8F5E088524E}"/>
              </a:ext>
            </a:extLst>
          </xdr:cNvPr>
          <xdr:cNvGrpSpPr/>
        </xdr:nvGrpSpPr>
        <xdr:grpSpPr>
          <a:xfrm>
            <a:off x="3579989" y="561707"/>
            <a:ext cx="11183337" cy="1045174"/>
            <a:chOff x="1855953" y="616135"/>
            <a:chExt cx="11457339" cy="1067047"/>
          </a:xfrm>
        </xdr:grpSpPr>
        <xdr:grpSp>
          <xdr:nvGrpSpPr>
            <xdr:cNvPr id="44" name="Group 43">
              <a:extLst>
                <a:ext uri="{FF2B5EF4-FFF2-40B4-BE49-F238E27FC236}">
                  <a16:creationId xmlns:a16="http://schemas.microsoft.com/office/drawing/2014/main" id="{DF9C8E1B-BA53-E7AF-1814-A89876A2A218}"/>
                </a:ext>
              </a:extLst>
            </xdr:cNvPr>
            <xdr:cNvGrpSpPr/>
          </xdr:nvGrpSpPr>
          <xdr:grpSpPr>
            <a:xfrm>
              <a:off x="1855953" y="616135"/>
              <a:ext cx="2714974" cy="1067047"/>
              <a:chOff x="322882" y="1057086"/>
              <a:chExt cx="2677110" cy="1055214"/>
            </a:xfrm>
          </xdr:grpSpPr>
          <xdr:sp macro="" textlink="">
            <xdr:nvSpPr>
              <xdr:cNvPr id="16" name="TextBox 15">
                <a:extLst>
                  <a:ext uri="{FF2B5EF4-FFF2-40B4-BE49-F238E27FC236}">
                    <a16:creationId xmlns:a16="http://schemas.microsoft.com/office/drawing/2014/main" id="{88DA0E99-3A37-E7B3-E864-7B1300C74F65}"/>
                  </a:ext>
                </a:extLst>
              </xdr:cNvPr>
              <xdr:cNvSpPr txBox="1"/>
            </xdr:nvSpPr>
            <xdr:spPr>
              <a:xfrm>
                <a:off x="322882" y="1057086"/>
                <a:ext cx="2677110" cy="10552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 SALES</a:t>
                </a:r>
              </a:p>
            </xdr:txBody>
          </xdr:sp>
          <xdr:sp macro="" textlink="sales">
            <xdr:nvSpPr>
              <xdr:cNvPr id="19" name="TextBox 18">
                <a:extLst>
                  <a:ext uri="{FF2B5EF4-FFF2-40B4-BE49-F238E27FC236}">
                    <a16:creationId xmlns:a16="http://schemas.microsoft.com/office/drawing/2014/main" id="{D4957A76-59CA-40EA-B47A-981D2682FC94}"/>
                  </a:ext>
                </a:extLst>
              </xdr:cNvPr>
              <xdr:cNvSpPr txBox="1"/>
            </xdr:nvSpPr>
            <xdr:spPr>
              <a:xfrm>
                <a:off x="871046" y="1391675"/>
                <a:ext cx="1543876" cy="5782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0F6473-E978-4396-883D-ACC2952882ED}" type="TxLink">
                  <a:rPr lang="en-US" sz="1800" b="1" i="0" u="none" strike="noStrike">
                    <a:solidFill>
                      <a:schemeClr val="tx2">
                        <a:lumMod val="50000"/>
                        <a:lumOff val="50000"/>
                      </a:schemeClr>
                    </a:solidFill>
                    <a:latin typeface="Aptos Narrow"/>
                  </a:rPr>
                  <a:pPr algn="ctr"/>
                  <a:t>₦8,070,705</a:t>
                </a:fld>
                <a:endParaRPr lang="en-US" sz="1800" b="1">
                  <a:solidFill>
                    <a:schemeClr val="tx2">
                      <a:lumMod val="50000"/>
                      <a:lumOff val="50000"/>
                    </a:schemeClr>
                  </a:solidFill>
                </a:endParaRPr>
              </a:p>
            </xdr:txBody>
          </xdr:sp>
        </xdr:grpSp>
        <xdr:grpSp>
          <xdr:nvGrpSpPr>
            <xdr:cNvPr id="45" name="Group 44">
              <a:extLst>
                <a:ext uri="{FF2B5EF4-FFF2-40B4-BE49-F238E27FC236}">
                  <a16:creationId xmlns:a16="http://schemas.microsoft.com/office/drawing/2014/main" id="{8A0EC2A6-9E9A-C224-A28A-7104AFE3A128}"/>
                </a:ext>
              </a:extLst>
            </xdr:cNvPr>
            <xdr:cNvGrpSpPr/>
          </xdr:nvGrpSpPr>
          <xdr:grpSpPr>
            <a:xfrm>
              <a:off x="4763665" y="616135"/>
              <a:ext cx="2725425" cy="1066524"/>
              <a:chOff x="3192730" y="1057086"/>
              <a:chExt cx="2678096" cy="1054691"/>
            </a:xfrm>
          </xdr:grpSpPr>
          <xdr:sp macro="" textlink="">
            <xdr:nvSpPr>
              <xdr:cNvPr id="22" name="TextBox 21">
                <a:extLst>
                  <a:ext uri="{FF2B5EF4-FFF2-40B4-BE49-F238E27FC236}">
                    <a16:creationId xmlns:a16="http://schemas.microsoft.com/office/drawing/2014/main" id="{FAC71C6D-8F1B-D3FB-C2FC-FAE21EF89B9D}"/>
                  </a:ext>
                </a:extLst>
              </xdr:cNvPr>
              <xdr:cNvSpPr txBox="1"/>
            </xdr:nvSpPr>
            <xdr:spPr>
              <a:xfrm>
                <a:off x="3192730" y="1057086"/>
                <a:ext cx="2678096" cy="10546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a:t>
                </a:r>
                <a:r>
                  <a:rPr lang="en-US" sz="1100" b="1"/>
                  <a:t> </a:t>
                </a:r>
                <a:r>
                  <a:rPr lang="en-US" sz="2400" b="1"/>
                  <a:t>ORDER</a:t>
                </a:r>
              </a:p>
            </xdr:txBody>
          </xdr:sp>
          <xdr:sp macro="" textlink="qtysold">
            <xdr:nvSpPr>
              <xdr:cNvPr id="25" name="TextBox 24">
                <a:extLst>
                  <a:ext uri="{FF2B5EF4-FFF2-40B4-BE49-F238E27FC236}">
                    <a16:creationId xmlns:a16="http://schemas.microsoft.com/office/drawing/2014/main" id="{E970AEE4-6522-4F7C-A7B9-39CBBE0DC17B}"/>
                  </a:ext>
                </a:extLst>
              </xdr:cNvPr>
              <xdr:cNvSpPr txBox="1"/>
            </xdr:nvSpPr>
            <xdr:spPr>
              <a:xfrm>
                <a:off x="4262446" y="1476025"/>
                <a:ext cx="709239" cy="334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0A5CE0-882C-4EF2-B70E-9FD3AA7F8725}" type="TxLink">
                  <a:rPr lang="en-US" sz="1800" b="1" i="0" u="none" strike="noStrike">
                    <a:solidFill>
                      <a:schemeClr val="tx2">
                        <a:lumMod val="50000"/>
                        <a:lumOff val="50000"/>
                      </a:schemeClr>
                    </a:solidFill>
                    <a:latin typeface="Aptos Narrow"/>
                  </a:rPr>
                  <a:pPr algn="ctr"/>
                  <a:t>171</a:t>
                </a:fld>
                <a:endParaRPr lang="en-US" sz="1800" b="1">
                  <a:solidFill>
                    <a:schemeClr val="tx2">
                      <a:lumMod val="50000"/>
                      <a:lumOff val="50000"/>
                    </a:schemeClr>
                  </a:solidFill>
                </a:endParaRPr>
              </a:p>
            </xdr:txBody>
          </xdr:sp>
        </xdr:grpSp>
        <xdr:grpSp>
          <xdr:nvGrpSpPr>
            <xdr:cNvPr id="46" name="Group 45">
              <a:extLst>
                <a:ext uri="{FF2B5EF4-FFF2-40B4-BE49-F238E27FC236}">
                  <a16:creationId xmlns:a16="http://schemas.microsoft.com/office/drawing/2014/main" id="{F94F43B9-AD4B-9A38-D5FF-5487F21B7C0C}"/>
                </a:ext>
              </a:extLst>
            </xdr:cNvPr>
            <xdr:cNvGrpSpPr/>
          </xdr:nvGrpSpPr>
          <xdr:grpSpPr>
            <a:xfrm>
              <a:off x="7684038" y="616135"/>
              <a:ext cx="2712419" cy="1065172"/>
              <a:chOff x="6065774" y="1057086"/>
              <a:chExt cx="2674556" cy="1053339"/>
            </a:xfrm>
          </xdr:grpSpPr>
          <xdr:sp macro="" textlink="">
            <xdr:nvSpPr>
              <xdr:cNvPr id="29" name="TextBox 28">
                <a:extLst>
                  <a:ext uri="{FF2B5EF4-FFF2-40B4-BE49-F238E27FC236}">
                    <a16:creationId xmlns:a16="http://schemas.microsoft.com/office/drawing/2014/main" id="{653B61B8-334A-BB98-50F0-0969E66F9D21}"/>
                  </a:ext>
                </a:extLst>
              </xdr:cNvPr>
              <xdr:cNvSpPr txBox="1"/>
            </xdr:nvSpPr>
            <xdr:spPr>
              <a:xfrm>
                <a:off x="6065774" y="1057086"/>
                <a:ext cx="2674556" cy="10533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a:t>
                </a:r>
                <a:r>
                  <a:rPr lang="en-US" sz="2400" b="1" baseline="0"/>
                  <a:t> CUSTOMERS</a:t>
                </a:r>
                <a:endParaRPr lang="en-US" sz="2400" b="1"/>
              </a:p>
            </xdr:txBody>
          </xdr:sp>
          <xdr:sp macro="" textlink="customers">
            <xdr:nvSpPr>
              <xdr:cNvPr id="30" name="TextBox 29">
                <a:extLst>
                  <a:ext uri="{FF2B5EF4-FFF2-40B4-BE49-F238E27FC236}">
                    <a16:creationId xmlns:a16="http://schemas.microsoft.com/office/drawing/2014/main" id="{FC2C4845-9A54-42D8-8428-928737D021A8}"/>
                  </a:ext>
                </a:extLst>
              </xdr:cNvPr>
              <xdr:cNvSpPr txBox="1"/>
            </xdr:nvSpPr>
            <xdr:spPr>
              <a:xfrm>
                <a:off x="7295349" y="1469286"/>
                <a:ext cx="1100356" cy="3106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A37D68-5D79-437A-8AEF-93B6197CDB94}" type="TxLink">
                  <a:rPr lang="en-US" sz="1800" b="1" i="0" u="none" strike="noStrike">
                    <a:solidFill>
                      <a:schemeClr val="tx2">
                        <a:lumMod val="50000"/>
                        <a:lumOff val="50000"/>
                      </a:schemeClr>
                    </a:solidFill>
                    <a:latin typeface="Aptos Narrow"/>
                  </a:rPr>
                  <a:pPr/>
                  <a:t>104</a:t>
                </a:fld>
                <a:endParaRPr lang="en-US" sz="1800" b="1">
                  <a:solidFill>
                    <a:schemeClr val="tx2">
                      <a:lumMod val="50000"/>
                      <a:lumOff val="50000"/>
                    </a:schemeClr>
                  </a:solidFill>
                </a:endParaRPr>
              </a:p>
            </xdr:txBody>
          </xdr:sp>
        </xdr:grpSp>
        <xdr:grpSp>
          <xdr:nvGrpSpPr>
            <xdr:cNvPr id="48" name="Group 47">
              <a:extLst>
                <a:ext uri="{FF2B5EF4-FFF2-40B4-BE49-F238E27FC236}">
                  <a16:creationId xmlns:a16="http://schemas.microsoft.com/office/drawing/2014/main" id="{BBB6F9FE-7099-1134-6268-9EACF9118C5B}"/>
                </a:ext>
              </a:extLst>
            </xdr:cNvPr>
            <xdr:cNvGrpSpPr/>
          </xdr:nvGrpSpPr>
          <xdr:grpSpPr>
            <a:xfrm>
              <a:off x="10600871" y="616135"/>
              <a:ext cx="2712421" cy="1065172"/>
              <a:chOff x="8935278" y="1057086"/>
              <a:chExt cx="2674557" cy="1053339"/>
            </a:xfrm>
          </xdr:grpSpPr>
          <xdr:sp macro="" textlink="">
            <xdr:nvSpPr>
              <xdr:cNvPr id="32" name="TextBox 31">
                <a:extLst>
                  <a:ext uri="{FF2B5EF4-FFF2-40B4-BE49-F238E27FC236}">
                    <a16:creationId xmlns:a16="http://schemas.microsoft.com/office/drawing/2014/main" id="{70E4B7EB-12E4-A04A-C178-C5A6CED77253}"/>
                  </a:ext>
                </a:extLst>
              </xdr:cNvPr>
              <xdr:cNvSpPr txBox="1"/>
            </xdr:nvSpPr>
            <xdr:spPr>
              <a:xfrm>
                <a:off x="8935278" y="1057086"/>
                <a:ext cx="2674557" cy="10533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PRODUC</a:t>
                </a:r>
                <a:r>
                  <a:rPr lang="en-US" sz="2400" b="1" baseline="0"/>
                  <a:t>T COUNT</a:t>
                </a:r>
                <a:endParaRPr lang="en-US" sz="2400" b="1"/>
              </a:p>
            </xdr:txBody>
          </xdr:sp>
          <xdr:sp macro="" textlink="productcount">
            <xdr:nvSpPr>
              <xdr:cNvPr id="33" name="TextBox 32">
                <a:extLst>
                  <a:ext uri="{FF2B5EF4-FFF2-40B4-BE49-F238E27FC236}">
                    <a16:creationId xmlns:a16="http://schemas.microsoft.com/office/drawing/2014/main" id="{E1F0D280-30E6-46F0-BEB9-BE16F83D595F}"/>
                  </a:ext>
                </a:extLst>
              </xdr:cNvPr>
              <xdr:cNvSpPr txBox="1"/>
            </xdr:nvSpPr>
            <xdr:spPr>
              <a:xfrm>
                <a:off x="10073578" y="1499176"/>
                <a:ext cx="986527" cy="370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A9DD81-F78F-41EC-B270-CE2F63468A0C}" type="TxLink">
                  <a:rPr lang="en-US" sz="1800" b="1" i="0" u="none" strike="noStrike">
                    <a:solidFill>
                      <a:schemeClr val="tx2">
                        <a:lumMod val="50000"/>
                        <a:lumOff val="50000"/>
                      </a:schemeClr>
                    </a:solidFill>
                    <a:latin typeface="Aptos Narrow"/>
                  </a:rPr>
                  <a:pPr/>
                  <a:t>30</a:t>
                </a:fld>
                <a:endParaRPr lang="en-US" sz="1800" b="1">
                  <a:solidFill>
                    <a:schemeClr val="tx2">
                      <a:lumMod val="50000"/>
                      <a:lumOff val="50000"/>
                    </a:schemeClr>
                  </a:solidFill>
                </a:endParaRPr>
              </a:p>
            </xdr:txBody>
          </xdr:sp>
        </xdr:grpSp>
      </xdr:grpSp>
      <xdr:pic>
        <xdr:nvPicPr>
          <xdr:cNvPr id="110" name="Graphic 109" descr="Tag with solid fill">
            <a:extLst>
              <a:ext uri="{FF2B5EF4-FFF2-40B4-BE49-F238E27FC236}">
                <a16:creationId xmlns:a16="http://schemas.microsoft.com/office/drawing/2014/main" id="{FE79808C-209D-4C31-A386-A8966C19FFB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656097" y="900061"/>
            <a:ext cx="640251" cy="642384"/>
          </a:xfrm>
          <a:prstGeom prst="rect">
            <a:avLst/>
          </a:prstGeom>
        </xdr:spPr>
      </xdr:pic>
      <xdr:pic>
        <xdr:nvPicPr>
          <xdr:cNvPr id="119" name="Graphic 118" descr="Coins outline">
            <a:extLst>
              <a:ext uri="{FF2B5EF4-FFF2-40B4-BE49-F238E27FC236}">
                <a16:creationId xmlns:a16="http://schemas.microsoft.com/office/drawing/2014/main" id="{A7F5F99B-5BD6-9470-5F32-3F5E6D80F948}"/>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592446" y="935604"/>
            <a:ext cx="850030" cy="693067"/>
          </a:xfrm>
          <a:prstGeom prst="rect">
            <a:avLst/>
          </a:prstGeom>
          <a:effectLst>
            <a:outerShdw blurRad="50800" dist="38100" dir="2700000" algn="tl" rotWithShape="0">
              <a:prstClr val="black">
                <a:alpha val="40000"/>
              </a:prstClr>
            </a:outerShdw>
          </a:effectLst>
        </xdr:spPr>
      </xdr:pic>
      <xdr:pic>
        <xdr:nvPicPr>
          <xdr:cNvPr id="121" name="Graphic 120" descr="Customer review with solid fill">
            <a:extLst>
              <a:ext uri="{FF2B5EF4-FFF2-40B4-BE49-F238E27FC236}">
                <a16:creationId xmlns:a16="http://schemas.microsoft.com/office/drawing/2014/main" id="{FC44E163-D3B9-4D5D-9CF0-F6FE6BF4012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394743" y="895512"/>
            <a:ext cx="1152656" cy="617419"/>
          </a:xfrm>
          <a:prstGeom prst="rect">
            <a:avLst/>
          </a:prstGeom>
        </xdr:spPr>
      </xdr:pic>
      <xdr:pic>
        <xdr:nvPicPr>
          <xdr:cNvPr id="122" name="Graphic 121" descr="Box with solid fill">
            <a:extLst>
              <a:ext uri="{FF2B5EF4-FFF2-40B4-BE49-F238E27FC236}">
                <a16:creationId xmlns:a16="http://schemas.microsoft.com/office/drawing/2014/main" id="{F5675F27-7297-4DD6-BEC7-640753DC758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130128" y="928077"/>
            <a:ext cx="1207426" cy="67258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492125</xdr:colOff>
      <xdr:row>1</xdr:row>
      <xdr:rowOff>155575</xdr:rowOff>
    </xdr:from>
    <xdr:to>
      <xdr:col>12</xdr:col>
      <xdr:colOff>187325</xdr:colOff>
      <xdr:row>16</xdr:row>
      <xdr:rowOff>136525</xdr:rowOff>
    </xdr:to>
    <xdr:grpSp>
      <xdr:nvGrpSpPr>
        <xdr:cNvPr id="4" name="Group 3">
          <a:extLst>
            <a:ext uri="{FF2B5EF4-FFF2-40B4-BE49-F238E27FC236}">
              <a16:creationId xmlns:a16="http://schemas.microsoft.com/office/drawing/2014/main" id="{84E2F772-7A68-5494-EE05-5C37CED92281}"/>
            </a:ext>
          </a:extLst>
        </xdr:cNvPr>
        <xdr:cNvGrpSpPr/>
      </xdr:nvGrpSpPr>
      <xdr:grpSpPr>
        <a:xfrm>
          <a:off x="3648075" y="574675"/>
          <a:ext cx="4572000" cy="2743200"/>
          <a:chOff x="3584575" y="676275"/>
          <a:chExt cx="4572000" cy="2743200"/>
        </a:xfrm>
      </xdr:grpSpPr>
      <xdr:graphicFrame macro="">
        <xdr:nvGraphicFramePr>
          <xdr:cNvPr id="2" name="Chart 1">
            <a:extLst>
              <a:ext uri="{FF2B5EF4-FFF2-40B4-BE49-F238E27FC236}">
                <a16:creationId xmlns:a16="http://schemas.microsoft.com/office/drawing/2014/main" id="{28355FCB-2B26-720D-82EF-47E59C4964AC}"/>
              </a:ext>
            </a:extLst>
          </xdr:cNvPr>
          <xdr:cNvGraphicFramePr/>
        </xdr:nvGraphicFramePr>
        <xdr:xfrm>
          <a:off x="3584575" y="676275"/>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TextBox 2">
            <a:hlinkClick xmlns:r="http://schemas.openxmlformats.org/officeDocument/2006/relationships" r:id="rId2"/>
            <a:extLst>
              <a:ext uri="{FF2B5EF4-FFF2-40B4-BE49-F238E27FC236}">
                <a16:creationId xmlns:a16="http://schemas.microsoft.com/office/drawing/2014/main" id="{5BADF508-605E-6979-7327-3E4181273853}"/>
              </a:ext>
            </a:extLst>
          </xdr:cNvPr>
          <xdr:cNvSpPr txBox="1"/>
        </xdr:nvSpPr>
        <xdr:spPr>
          <a:xfrm>
            <a:off x="7258050" y="704850"/>
            <a:ext cx="864000" cy="216000"/>
          </a:xfrm>
          <a:prstGeom prst="rect">
            <a:avLst/>
          </a:prstGeom>
          <a:solidFill>
            <a:schemeClr val="bg2">
              <a:lumMod val="50000"/>
            </a:schemeClr>
          </a:solidFill>
          <a:ln w="28575" cmpd="sng">
            <a:solidFill>
              <a:schemeClr val="tx2">
                <a:lumMod val="50000"/>
                <a:lumOff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t>DASHBOARD</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263525</xdr:colOff>
      <xdr:row>1</xdr:row>
      <xdr:rowOff>123825</xdr:rowOff>
    </xdr:from>
    <xdr:to>
      <xdr:col>11</xdr:col>
      <xdr:colOff>568325</xdr:colOff>
      <xdr:row>16</xdr:row>
      <xdr:rowOff>104775</xdr:rowOff>
    </xdr:to>
    <xdr:grpSp>
      <xdr:nvGrpSpPr>
        <xdr:cNvPr id="5" name="Group 4">
          <a:extLst>
            <a:ext uri="{FF2B5EF4-FFF2-40B4-BE49-F238E27FC236}">
              <a16:creationId xmlns:a16="http://schemas.microsoft.com/office/drawing/2014/main" id="{44CD3782-3791-4355-11C9-AF5DE3AF8D9C}"/>
            </a:ext>
          </a:extLst>
        </xdr:cNvPr>
        <xdr:cNvGrpSpPr/>
      </xdr:nvGrpSpPr>
      <xdr:grpSpPr>
        <a:xfrm>
          <a:off x="3717925" y="542925"/>
          <a:ext cx="4572000" cy="2743200"/>
          <a:chOff x="4429125" y="657225"/>
          <a:chExt cx="4572000" cy="2743200"/>
        </a:xfrm>
      </xdr:grpSpPr>
      <xdr:graphicFrame macro="">
        <xdr:nvGraphicFramePr>
          <xdr:cNvPr id="2" name="Chart 1">
            <a:extLst>
              <a:ext uri="{FF2B5EF4-FFF2-40B4-BE49-F238E27FC236}">
                <a16:creationId xmlns:a16="http://schemas.microsoft.com/office/drawing/2014/main" id="{C2B4539E-BEAE-44E5-A920-AF2EB2A7125E}"/>
              </a:ext>
            </a:extLst>
          </xdr:cNvPr>
          <xdr:cNvGraphicFramePr>
            <a:graphicFrameLocks/>
          </xdr:cNvGraphicFramePr>
        </xdr:nvGraphicFramePr>
        <xdr:xfrm>
          <a:off x="4429125" y="657225"/>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TextBox 2">
            <a:hlinkClick xmlns:r="http://schemas.openxmlformats.org/officeDocument/2006/relationships" r:id="rId2"/>
            <a:extLst>
              <a:ext uri="{FF2B5EF4-FFF2-40B4-BE49-F238E27FC236}">
                <a16:creationId xmlns:a16="http://schemas.microsoft.com/office/drawing/2014/main" id="{DCCEC72B-BF3C-6DFA-F937-EF825D183666}"/>
              </a:ext>
            </a:extLst>
          </xdr:cNvPr>
          <xdr:cNvSpPr txBox="1"/>
        </xdr:nvSpPr>
        <xdr:spPr>
          <a:xfrm>
            <a:off x="8121650" y="692150"/>
            <a:ext cx="864000" cy="216000"/>
          </a:xfrm>
          <a:prstGeom prst="rect">
            <a:avLst/>
          </a:prstGeom>
          <a:solidFill>
            <a:schemeClr val="bg2">
              <a:lumMod val="50000"/>
            </a:schemeClr>
          </a:solidFill>
          <a:ln w="28575" cmpd="sng">
            <a:solidFill>
              <a:schemeClr val="tx2">
                <a:lumMod val="50000"/>
                <a:lumOff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t>DASHBOARD</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295274</xdr:colOff>
      <xdr:row>2</xdr:row>
      <xdr:rowOff>50800</xdr:rowOff>
    </xdr:from>
    <xdr:to>
      <xdr:col>15</xdr:col>
      <xdr:colOff>63500</xdr:colOff>
      <xdr:row>16</xdr:row>
      <xdr:rowOff>180974</xdr:rowOff>
    </xdr:to>
    <xdr:grpSp>
      <xdr:nvGrpSpPr>
        <xdr:cNvPr id="4" name="Group 3">
          <a:extLst>
            <a:ext uri="{FF2B5EF4-FFF2-40B4-BE49-F238E27FC236}">
              <a16:creationId xmlns:a16="http://schemas.microsoft.com/office/drawing/2014/main" id="{40903B7E-B15F-7FCF-DFF5-FCB0C905FCFB}"/>
            </a:ext>
          </a:extLst>
        </xdr:cNvPr>
        <xdr:cNvGrpSpPr/>
      </xdr:nvGrpSpPr>
      <xdr:grpSpPr>
        <a:xfrm>
          <a:off x="4391024" y="654050"/>
          <a:ext cx="5864226" cy="2708274"/>
          <a:chOff x="4416424" y="704850"/>
          <a:chExt cx="5864226" cy="2708274"/>
        </a:xfrm>
      </xdr:grpSpPr>
      <xdr:graphicFrame macro="">
        <xdr:nvGraphicFramePr>
          <xdr:cNvPr id="2" name="Chart 1">
            <a:extLst>
              <a:ext uri="{FF2B5EF4-FFF2-40B4-BE49-F238E27FC236}">
                <a16:creationId xmlns:a16="http://schemas.microsoft.com/office/drawing/2014/main" id="{326ED71A-365E-4D06-91E9-8C27E7722E65}"/>
              </a:ext>
            </a:extLst>
          </xdr:cNvPr>
          <xdr:cNvGraphicFramePr>
            <a:graphicFrameLocks/>
          </xdr:cNvGraphicFramePr>
        </xdr:nvGraphicFramePr>
        <xdr:xfrm>
          <a:off x="4416424" y="711199"/>
          <a:ext cx="5864226" cy="270192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TextBox 2">
            <a:hlinkClick xmlns:r="http://schemas.openxmlformats.org/officeDocument/2006/relationships" r:id="rId2"/>
            <a:extLst>
              <a:ext uri="{FF2B5EF4-FFF2-40B4-BE49-F238E27FC236}">
                <a16:creationId xmlns:a16="http://schemas.microsoft.com/office/drawing/2014/main" id="{93BA9CA6-6A1D-8336-A82F-E46CEFD7EA20}"/>
              </a:ext>
            </a:extLst>
          </xdr:cNvPr>
          <xdr:cNvSpPr txBox="1"/>
        </xdr:nvSpPr>
        <xdr:spPr>
          <a:xfrm>
            <a:off x="9391650" y="704850"/>
            <a:ext cx="864000" cy="216000"/>
          </a:xfrm>
          <a:prstGeom prst="rect">
            <a:avLst/>
          </a:prstGeom>
          <a:solidFill>
            <a:schemeClr val="bg2">
              <a:lumMod val="50000"/>
            </a:schemeClr>
          </a:solidFill>
          <a:ln w="28575" cmpd="sng">
            <a:solidFill>
              <a:schemeClr val="tx2">
                <a:lumMod val="50000"/>
                <a:lumOff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t>DASHBOARD</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107950</xdr:colOff>
      <xdr:row>2</xdr:row>
      <xdr:rowOff>111125</xdr:rowOff>
    </xdr:from>
    <xdr:to>
      <xdr:col>15</xdr:col>
      <xdr:colOff>70250</xdr:colOff>
      <xdr:row>17</xdr:row>
      <xdr:rowOff>92075</xdr:rowOff>
    </xdr:to>
    <xdr:grpSp>
      <xdr:nvGrpSpPr>
        <xdr:cNvPr id="4" name="Group 3">
          <a:extLst>
            <a:ext uri="{FF2B5EF4-FFF2-40B4-BE49-F238E27FC236}">
              <a16:creationId xmlns:a16="http://schemas.microsoft.com/office/drawing/2014/main" id="{92A29CBC-E2CC-39D7-BCB3-3EFCDF9065AB}"/>
            </a:ext>
          </a:extLst>
        </xdr:cNvPr>
        <xdr:cNvGrpSpPr/>
      </xdr:nvGrpSpPr>
      <xdr:grpSpPr>
        <a:xfrm>
          <a:off x="5797550" y="714375"/>
          <a:ext cx="5448700" cy="2743200"/>
          <a:chOff x="5581650" y="638175"/>
          <a:chExt cx="5448700" cy="2743200"/>
        </a:xfrm>
      </xdr:grpSpPr>
      <xdr:graphicFrame macro="">
        <xdr:nvGraphicFramePr>
          <xdr:cNvPr id="2" name="Chart 1">
            <a:extLst>
              <a:ext uri="{FF2B5EF4-FFF2-40B4-BE49-F238E27FC236}">
                <a16:creationId xmlns:a16="http://schemas.microsoft.com/office/drawing/2014/main" id="{ABC29FA6-DB45-4A92-BEF6-52CC1F1F42F9}"/>
              </a:ext>
            </a:extLst>
          </xdr:cNvPr>
          <xdr:cNvGraphicFramePr>
            <a:graphicFrameLocks/>
          </xdr:cNvGraphicFramePr>
        </xdr:nvGraphicFramePr>
        <xdr:xfrm>
          <a:off x="5581650" y="638175"/>
          <a:ext cx="5448300"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TextBox 2">
            <a:hlinkClick xmlns:r="http://schemas.openxmlformats.org/officeDocument/2006/relationships" r:id="rId2"/>
            <a:extLst>
              <a:ext uri="{FF2B5EF4-FFF2-40B4-BE49-F238E27FC236}">
                <a16:creationId xmlns:a16="http://schemas.microsoft.com/office/drawing/2014/main" id="{DDE4EFCF-8E61-7460-395D-23FE13782324}"/>
              </a:ext>
            </a:extLst>
          </xdr:cNvPr>
          <xdr:cNvSpPr txBox="1"/>
        </xdr:nvSpPr>
        <xdr:spPr>
          <a:xfrm>
            <a:off x="10166350" y="641350"/>
            <a:ext cx="864000" cy="216000"/>
          </a:xfrm>
          <a:prstGeom prst="rect">
            <a:avLst/>
          </a:prstGeom>
          <a:solidFill>
            <a:schemeClr val="bg2">
              <a:lumMod val="50000"/>
            </a:schemeClr>
          </a:solidFill>
          <a:ln w="28575" cmpd="sng">
            <a:solidFill>
              <a:schemeClr val="tx2">
                <a:lumMod val="50000"/>
                <a:lumOff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t>DASHBOARD</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37203</xdr:colOff>
      <xdr:row>2</xdr:row>
      <xdr:rowOff>60325</xdr:rowOff>
    </xdr:from>
    <xdr:to>
      <xdr:col>14</xdr:col>
      <xdr:colOff>427729</xdr:colOff>
      <xdr:row>17</xdr:row>
      <xdr:rowOff>41275</xdr:rowOff>
    </xdr:to>
    <xdr:grpSp>
      <xdr:nvGrpSpPr>
        <xdr:cNvPr id="4" name="Group 3">
          <a:extLst>
            <a:ext uri="{FF2B5EF4-FFF2-40B4-BE49-F238E27FC236}">
              <a16:creationId xmlns:a16="http://schemas.microsoft.com/office/drawing/2014/main" id="{356952B7-730D-9659-C67E-A9AE9B9CB419}"/>
            </a:ext>
          </a:extLst>
        </xdr:cNvPr>
        <xdr:cNvGrpSpPr/>
      </xdr:nvGrpSpPr>
      <xdr:grpSpPr>
        <a:xfrm>
          <a:off x="5817331" y="662761"/>
          <a:ext cx="5885719" cy="2789604"/>
          <a:chOff x="5980152" y="662761"/>
          <a:chExt cx="5885719" cy="2789604"/>
        </a:xfrm>
      </xdr:grpSpPr>
      <xdr:graphicFrame macro="">
        <xdr:nvGraphicFramePr>
          <xdr:cNvPr id="2" name="Chart 1">
            <a:extLst>
              <a:ext uri="{FF2B5EF4-FFF2-40B4-BE49-F238E27FC236}">
                <a16:creationId xmlns:a16="http://schemas.microsoft.com/office/drawing/2014/main" id="{86739A49-624E-424D-AB9F-FB9309364470}"/>
              </a:ext>
            </a:extLst>
          </xdr:cNvPr>
          <xdr:cNvGraphicFramePr>
            <a:graphicFrameLocks/>
          </xdr:cNvGraphicFramePr>
        </xdr:nvGraphicFramePr>
        <xdr:xfrm>
          <a:off x="5980152" y="662761"/>
          <a:ext cx="5873019" cy="2789604"/>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TextBox 2">
            <a:hlinkClick xmlns:r="http://schemas.openxmlformats.org/officeDocument/2006/relationships" r:id="rId2"/>
            <a:extLst>
              <a:ext uri="{FF2B5EF4-FFF2-40B4-BE49-F238E27FC236}">
                <a16:creationId xmlns:a16="http://schemas.microsoft.com/office/drawing/2014/main" id="{7780E4FE-9F29-41FB-C349-268009FB9A1B}"/>
              </a:ext>
            </a:extLst>
          </xdr:cNvPr>
          <xdr:cNvSpPr txBox="1"/>
        </xdr:nvSpPr>
        <xdr:spPr>
          <a:xfrm>
            <a:off x="11003411" y="671031"/>
            <a:ext cx="862460" cy="220180"/>
          </a:xfrm>
          <a:prstGeom prst="rect">
            <a:avLst/>
          </a:prstGeom>
          <a:solidFill>
            <a:schemeClr val="bg2">
              <a:lumMod val="50000"/>
            </a:schemeClr>
          </a:solidFill>
          <a:ln w="28575" cmpd="sng">
            <a:solidFill>
              <a:schemeClr val="tx2">
                <a:lumMod val="50000"/>
                <a:lumOff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t>DASHBOARD</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390524</xdr:colOff>
      <xdr:row>1</xdr:row>
      <xdr:rowOff>79375</xdr:rowOff>
    </xdr:from>
    <xdr:to>
      <xdr:col>15</xdr:col>
      <xdr:colOff>158750</xdr:colOff>
      <xdr:row>16</xdr:row>
      <xdr:rowOff>60325</xdr:rowOff>
    </xdr:to>
    <xdr:grpSp>
      <xdr:nvGrpSpPr>
        <xdr:cNvPr id="4" name="Group 3">
          <a:extLst>
            <a:ext uri="{FF2B5EF4-FFF2-40B4-BE49-F238E27FC236}">
              <a16:creationId xmlns:a16="http://schemas.microsoft.com/office/drawing/2014/main" id="{0A3FDB74-1C50-4AFA-4668-1871159CC568}"/>
            </a:ext>
          </a:extLst>
        </xdr:cNvPr>
        <xdr:cNvGrpSpPr/>
      </xdr:nvGrpSpPr>
      <xdr:grpSpPr>
        <a:xfrm>
          <a:off x="5127624" y="498475"/>
          <a:ext cx="5864226" cy="2743200"/>
          <a:chOff x="4937124" y="663575"/>
          <a:chExt cx="5864226" cy="2743200"/>
        </a:xfrm>
      </xdr:grpSpPr>
      <xdr:graphicFrame macro="">
        <xdr:nvGraphicFramePr>
          <xdr:cNvPr id="2" name="Chart 1">
            <a:extLst>
              <a:ext uri="{FF2B5EF4-FFF2-40B4-BE49-F238E27FC236}">
                <a16:creationId xmlns:a16="http://schemas.microsoft.com/office/drawing/2014/main" id="{1B59531B-0C92-4601-900C-90C69A38024F}"/>
              </a:ext>
            </a:extLst>
          </xdr:cNvPr>
          <xdr:cNvGraphicFramePr>
            <a:graphicFrameLocks/>
          </xdr:cNvGraphicFramePr>
        </xdr:nvGraphicFramePr>
        <xdr:xfrm>
          <a:off x="4937124" y="663575"/>
          <a:ext cx="5864226"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TextBox 2">
            <a:hlinkClick xmlns:r="http://schemas.openxmlformats.org/officeDocument/2006/relationships" r:id="rId2"/>
            <a:extLst>
              <a:ext uri="{FF2B5EF4-FFF2-40B4-BE49-F238E27FC236}">
                <a16:creationId xmlns:a16="http://schemas.microsoft.com/office/drawing/2014/main" id="{416E9BD9-EE52-8A6E-5342-B89257C6DA1D}"/>
              </a:ext>
            </a:extLst>
          </xdr:cNvPr>
          <xdr:cNvSpPr txBox="1"/>
        </xdr:nvSpPr>
        <xdr:spPr>
          <a:xfrm>
            <a:off x="9931400" y="666750"/>
            <a:ext cx="864000" cy="216000"/>
          </a:xfrm>
          <a:prstGeom prst="rect">
            <a:avLst/>
          </a:prstGeom>
          <a:solidFill>
            <a:schemeClr val="bg2">
              <a:lumMod val="50000"/>
            </a:schemeClr>
          </a:solidFill>
          <a:ln w="28575" cmpd="sng">
            <a:solidFill>
              <a:schemeClr val="tx2">
                <a:lumMod val="50000"/>
                <a:lumOff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DASHBOARD</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200024</xdr:colOff>
      <xdr:row>2</xdr:row>
      <xdr:rowOff>22225</xdr:rowOff>
    </xdr:from>
    <xdr:to>
      <xdr:col>14</xdr:col>
      <xdr:colOff>577850</xdr:colOff>
      <xdr:row>17</xdr:row>
      <xdr:rowOff>3175</xdr:rowOff>
    </xdr:to>
    <xdr:graphicFrame macro="">
      <xdr:nvGraphicFramePr>
        <xdr:cNvPr id="2" name="Chart 1">
          <a:extLst>
            <a:ext uri="{FF2B5EF4-FFF2-40B4-BE49-F238E27FC236}">
              <a16:creationId xmlns:a16="http://schemas.microsoft.com/office/drawing/2014/main" id="{E7196F7B-D369-419F-A015-B477ADBAF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304800</xdr:colOff>
      <xdr:row>2</xdr:row>
      <xdr:rowOff>25399</xdr:rowOff>
    </xdr:from>
    <xdr:to>
      <xdr:col>14</xdr:col>
      <xdr:colOff>559200</xdr:colOff>
      <xdr:row>3</xdr:row>
      <xdr:rowOff>57249</xdr:rowOff>
    </xdr:to>
    <xdr:sp macro="" textlink="">
      <xdr:nvSpPr>
        <xdr:cNvPr id="3" name="TextBox 2">
          <a:hlinkClick xmlns:r="http://schemas.openxmlformats.org/officeDocument/2006/relationships" r:id="rId2"/>
          <a:extLst>
            <a:ext uri="{FF2B5EF4-FFF2-40B4-BE49-F238E27FC236}">
              <a16:creationId xmlns:a16="http://schemas.microsoft.com/office/drawing/2014/main" id="{52030CDF-E419-6C17-FA39-5B9F69805EDF}"/>
            </a:ext>
          </a:extLst>
        </xdr:cNvPr>
        <xdr:cNvSpPr txBox="1"/>
      </xdr:nvSpPr>
      <xdr:spPr>
        <a:xfrm>
          <a:off x="8947150" y="628649"/>
          <a:ext cx="864000" cy="216000"/>
        </a:xfrm>
        <a:prstGeom prst="rect">
          <a:avLst/>
        </a:prstGeom>
        <a:solidFill>
          <a:schemeClr val="bg2">
            <a:lumMod val="50000"/>
          </a:schemeClr>
        </a:solidFill>
        <a:ln w="28575">
          <a:solidFill>
            <a:schemeClr val="tx2">
              <a:lumMod val="50000"/>
              <a:lumOff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000" b="1"/>
            <a:t>DASHBOARD</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590550</xdr:colOff>
      <xdr:row>1</xdr:row>
      <xdr:rowOff>25400</xdr:rowOff>
    </xdr:from>
    <xdr:to>
      <xdr:col>14</xdr:col>
      <xdr:colOff>495300</xdr:colOff>
      <xdr:row>55</xdr:row>
      <xdr:rowOff>38100</xdr:rowOff>
    </xdr:to>
    <xdr:sp macro="" textlink="">
      <xdr:nvSpPr>
        <xdr:cNvPr id="3" name="TextBox 2">
          <a:extLst>
            <a:ext uri="{FF2B5EF4-FFF2-40B4-BE49-F238E27FC236}">
              <a16:creationId xmlns:a16="http://schemas.microsoft.com/office/drawing/2014/main" id="{4D68223B-E12C-B719-D136-BD12FD322323}"/>
            </a:ext>
          </a:extLst>
        </xdr:cNvPr>
        <xdr:cNvSpPr txBox="1"/>
      </xdr:nvSpPr>
      <xdr:spPr>
        <a:xfrm>
          <a:off x="590550" y="209550"/>
          <a:ext cx="8439150" cy="995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tx2">
                  <a:lumMod val="50000"/>
                  <a:lumOff val="50000"/>
                </a:schemeClr>
              </a:solidFill>
              <a:effectLst/>
              <a:latin typeface="+mn-lt"/>
              <a:ea typeface="+mn-ea"/>
              <a:cs typeface="+mn-cs"/>
            </a:rPr>
            <a:t>DD</a:t>
          </a:r>
          <a:r>
            <a:rPr lang="en-US" sz="1100" b="1" baseline="0">
              <a:solidFill>
                <a:schemeClr val="tx2">
                  <a:lumMod val="50000"/>
                  <a:lumOff val="50000"/>
                </a:schemeClr>
              </a:solidFill>
              <a:effectLst/>
              <a:latin typeface="+mn-lt"/>
              <a:ea typeface="+mn-ea"/>
              <a:cs typeface="+mn-cs"/>
            </a:rPr>
            <a:t> DISTRIBUTION LTD.___ BOARD REVIEW REPORT</a:t>
          </a:r>
          <a:endParaRPr lang="en-US">
            <a:solidFill>
              <a:schemeClr val="tx2">
                <a:lumMod val="50000"/>
                <a:lumOff val="50000"/>
              </a:schemeClr>
            </a:solidFill>
            <a:effectLst/>
          </a:endParaRPr>
        </a:p>
        <a:p>
          <a:pPr lvl="1"/>
          <a:r>
            <a:rPr lang="en-US" sz="1100" b="1" baseline="0">
              <a:solidFill>
                <a:schemeClr val="dk1"/>
              </a:solidFill>
              <a:effectLst/>
              <a:latin typeface="+mn-lt"/>
              <a:ea typeface="+mn-ea"/>
              <a:cs typeface="+mn-cs"/>
            </a:rPr>
            <a:t>TASK 3: PERFORMING STRATEGIC ANALYSIS</a:t>
          </a:r>
          <a:endParaRPr lang="en-US">
            <a:solidFill>
              <a:schemeClr val="bg2">
                <a:lumMod val="50000"/>
              </a:schemeClr>
            </a:solidFill>
            <a:effectLst/>
          </a:endParaRPr>
        </a:p>
        <a:p>
          <a:r>
            <a:rPr lang="en-US" sz="1100" b="1" baseline="0">
              <a:solidFill>
                <a:schemeClr val="dk1"/>
              </a:solidFill>
              <a:effectLst/>
              <a:latin typeface="+mn-lt"/>
              <a:ea typeface="+mn-ea"/>
              <a:cs typeface="+mn-cs"/>
            </a:rPr>
            <a:t>A. </a:t>
          </a:r>
          <a:r>
            <a:rPr lang="en-US" sz="1100" b="1" u="sng" baseline="0">
              <a:solidFill>
                <a:schemeClr val="dk1"/>
              </a:solidFill>
              <a:effectLst/>
              <a:latin typeface="+mn-lt"/>
              <a:ea typeface="+mn-ea"/>
              <a:cs typeface="+mn-cs"/>
            </a:rPr>
            <a:t>Identify growth opportunities</a:t>
          </a:r>
        </a:p>
        <a:p>
          <a:endParaRPr lang="en-US">
            <a:effectLst/>
          </a:endParaRPr>
        </a:p>
        <a:p>
          <a:r>
            <a:rPr lang="en-US" sz="1100" b="1" baseline="0">
              <a:solidFill>
                <a:schemeClr val="dk1"/>
              </a:solidFill>
              <a:effectLst/>
              <a:latin typeface="+mn-lt"/>
              <a:ea typeface="+mn-ea"/>
              <a:cs typeface="+mn-cs"/>
            </a:rPr>
            <a:t>1.The "Sachet Economy" Consumer Trend: on the Top 10 High Velocity Product Variant Chart, bulk bundles of small single-use sachets (milo sachet 20g and Dano Cool Cow Sachet 12g) are flying off the shelves. This shows a massive market demand for affordable micro sizes.</a:t>
          </a:r>
        </a:p>
        <a:p>
          <a:endParaRPr lang="en-US">
            <a:effectLst/>
          </a:endParaRPr>
        </a:p>
        <a:p>
          <a:r>
            <a:rPr lang="en-US" sz="1100" b="1" baseline="0">
              <a:solidFill>
                <a:schemeClr val="dk1"/>
              </a:solidFill>
              <a:effectLst/>
              <a:latin typeface="+mn-lt"/>
              <a:ea typeface="+mn-ea"/>
              <a:cs typeface="+mn-cs"/>
            </a:rPr>
            <a:t>2.Digital Procurement Channels: The Sales Volume By Order Channel chart shows that the Mobile App and WhatsApp dominates sales. Business to Business </a:t>
          </a:r>
          <a:endParaRPr lang="en-US">
            <a:effectLst/>
          </a:endParaRPr>
        </a:p>
        <a:p>
          <a:r>
            <a:rPr lang="en-US" sz="1100" b="1" baseline="0">
              <a:solidFill>
                <a:schemeClr val="dk1"/>
              </a:solidFill>
              <a:effectLst/>
              <a:latin typeface="+mn-lt"/>
              <a:ea typeface="+mn-ea"/>
              <a:cs typeface="+mn-cs"/>
            </a:rPr>
            <a:t>customers heavily prefer buying digitally over traditional methods.</a:t>
          </a:r>
        </a:p>
        <a:p>
          <a:endParaRPr lang="en-US">
            <a:effectLst/>
          </a:endParaRPr>
        </a:p>
        <a:p>
          <a:r>
            <a:rPr lang="en-US" sz="1100" b="1" baseline="0">
              <a:solidFill>
                <a:schemeClr val="dk1"/>
              </a:solidFill>
              <a:effectLst/>
              <a:latin typeface="+mn-lt"/>
              <a:ea typeface="+mn-ea"/>
              <a:cs typeface="+mn-cs"/>
            </a:rPr>
            <a:t>B</a:t>
          </a:r>
          <a:r>
            <a:rPr lang="en-US" sz="1100" b="1" u="sng" baseline="0">
              <a:solidFill>
                <a:schemeClr val="dk1"/>
              </a:solidFill>
              <a:effectLst/>
              <a:latin typeface="+mn-lt"/>
              <a:ea typeface="+mn-ea"/>
              <a:cs typeface="+mn-cs"/>
            </a:rPr>
            <a:t>. Spot Risks</a:t>
          </a:r>
          <a:endParaRPr lang="en-US">
            <a:effectLst/>
          </a:endParaRPr>
        </a:p>
        <a:p>
          <a:r>
            <a:rPr lang="en-US" sz="1100" b="1" baseline="0">
              <a:solidFill>
                <a:schemeClr val="dk1"/>
              </a:solidFill>
              <a:effectLst/>
              <a:latin typeface="+mn-lt"/>
              <a:ea typeface="+mn-ea"/>
              <a:cs typeface="+mn-cs"/>
            </a:rPr>
            <a:t>1. Supplier Concentration Risk: The Revenue Contribution by Producers chart shows an extreme imbalance. Nestle Nigeria Plc and Arla Foods dwarf everyone else. If either supplier runs into regulatory,manufacturing, or pricing issues,DD Distribution ltd. losses over half of its business instantly.</a:t>
          </a:r>
        </a:p>
        <a:p>
          <a:endParaRPr lang="en-US">
            <a:effectLst/>
          </a:endParaRPr>
        </a:p>
        <a:p>
          <a:r>
            <a:rPr lang="en-US" sz="1100" b="1" u="sng" baseline="0">
              <a:solidFill>
                <a:schemeClr val="dk1"/>
              </a:solidFill>
              <a:effectLst/>
              <a:latin typeface="+mn-lt"/>
              <a:ea typeface="+mn-ea"/>
              <a:cs typeface="+mn-cs"/>
            </a:rPr>
            <a:t>2. </a:t>
          </a:r>
          <a:r>
            <a:rPr lang="en-US" sz="1100" b="1" baseline="0">
              <a:solidFill>
                <a:schemeClr val="dk1"/>
              </a:solidFill>
              <a:effectLst/>
              <a:latin typeface="+mn-lt"/>
              <a:ea typeface="+mn-ea"/>
              <a:cs typeface="+mn-cs"/>
            </a:rPr>
            <a:t>Product Line Fragility: On the Category chat, Chocolate Beverages and Milk carry the entire company. Essentially grocery lines like Spreads, Sugar,Toiletries,and Infant care are flatlinning or barely generating sales.</a:t>
          </a:r>
        </a:p>
        <a:p>
          <a:endParaRPr lang="en-US">
            <a:effectLst/>
          </a:endParaRPr>
        </a:p>
        <a:p>
          <a:r>
            <a:rPr lang="en-US" sz="1100" b="1" baseline="0">
              <a:solidFill>
                <a:schemeClr val="dk1"/>
              </a:solidFill>
              <a:effectLst/>
              <a:latin typeface="+mn-lt"/>
              <a:ea typeface="+mn-ea"/>
              <a:cs typeface="+mn-cs"/>
            </a:rPr>
            <a:t>3. The June Revenue Dip: The Monthly Sales Performance Trend line chat exposes a severe, near-zero drop in June. This is a massive Warning sign of either a historic logistics breakdown or an unmanaged month-long inventory stockout.</a:t>
          </a:r>
        </a:p>
        <a:p>
          <a:endParaRPr lang="en-US">
            <a:effectLst/>
          </a:endParaRPr>
        </a:p>
        <a:p>
          <a:r>
            <a:rPr lang="en-US" sz="1100" b="1" baseline="0">
              <a:solidFill>
                <a:schemeClr val="dk1"/>
              </a:solidFill>
              <a:effectLst/>
              <a:latin typeface="+mn-lt"/>
              <a:ea typeface="+mn-ea"/>
              <a:cs typeface="+mn-cs"/>
            </a:rPr>
            <a:t>4.Customer Dependency Risk: A single wholesaler account,Rodam Enterprise ,is responsible for 26.1% of our annual sales,while the top 5 buying accounts combine to control 51.3% of our total revenue. if we lose these key clients to a competitor,over half of our business disappears overnight</a:t>
          </a:r>
        </a:p>
        <a:p>
          <a:endParaRPr lang="en-US">
            <a:effectLst/>
          </a:endParaRPr>
        </a:p>
        <a:p>
          <a:r>
            <a:rPr lang="en-US" sz="1100" b="1" baseline="0">
              <a:solidFill>
                <a:schemeClr val="dk1"/>
              </a:solidFill>
              <a:effectLst/>
              <a:latin typeface="+mn-lt"/>
              <a:ea typeface="+mn-ea"/>
              <a:cs typeface="+mn-cs"/>
            </a:rPr>
            <a:t>C. </a:t>
          </a:r>
          <a:r>
            <a:rPr lang="en-US" sz="1100" b="1" u="dbl" baseline="0">
              <a:solidFill>
                <a:schemeClr val="dk1"/>
              </a:solidFill>
              <a:effectLst/>
              <a:latin typeface="+mn-lt"/>
              <a:ea typeface="+mn-ea"/>
              <a:cs typeface="+mn-cs"/>
            </a:rPr>
            <a:t>Recommend Actions For The Board</a:t>
          </a:r>
        </a:p>
        <a:p>
          <a:endParaRPr lang="en-US">
            <a:effectLst/>
          </a:endParaRPr>
        </a:p>
        <a:p>
          <a:r>
            <a:rPr lang="en-US" sz="1100" b="1" u="dbl" baseline="0">
              <a:solidFill>
                <a:schemeClr val="dk1"/>
              </a:solidFill>
              <a:effectLst/>
              <a:latin typeface="+mn-lt"/>
              <a:ea typeface="+mn-ea"/>
              <a:cs typeface="+mn-cs"/>
            </a:rPr>
            <a:t>1.</a:t>
          </a:r>
          <a:r>
            <a:rPr lang="en-US" sz="1100" b="1" baseline="0">
              <a:solidFill>
                <a:schemeClr val="dk1"/>
              </a:solidFill>
              <a:effectLst/>
              <a:latin typeface="+mn-lt"/>
              <a:ea typeface="+mn-ea"/>
              <a:cs typeface="+mn-cs"/>
            </a:rPr>
            <a:t>Optimize Warehouse Space: Reallocate 20% of slower-moving warehouse space(currently holding large tins or boxes) to maximum bulk sachet inventory storage, keeping up with high-velocity retail  market demand.</a:t>
          </a:r>
        </a:p>
        <a:p>
          <a:endParaRPr lang="en-US">
            <a:effectLst/>
          </a:endParaRPr>
        </a:p>
        <a:p>
          <a:r>
            <a:rPr lang="en-US" sz="1100" b="1" baseline="0">
              <a:solidFill>
                <a:schemeClr val="dk1"/>
              </a:solidFill>
              <a:effectLst/>
              <a:latin typeface="+mn-lt"/>
              <a:ea typeface="+mn-ea"/>
              <a:cs typeface="+mn-cs"/>
            </a:rPr>
            <a:t>2.Strategic Supplier Negotiations: Leverage our massive sales volume dominance with Nestle and Arla to renegotiate superior distributor profit margins and secure exclusive, guranteed stock fulfillment agreement during peak quarters.</a:t>
          </a:r>
          <a:endParaRPr lang="en-US">
            <a:effectLst/>
          </a:endParaRPr>
        </a:p>
        <a:p>
          <a:r>
            <a:rPr lang="en-US" sz="1100" b="1" baseline="0">
              <a:solidFill>
                <a:schemeClr val="dk1"/>
              </a:solidFill>
              <a:effectLst/>
              <a:latin typeface="+mn-lt"/>
              <a:ea typeface="+mn-ea"/>
              <a:cs typeface="+mn-cs"/>
            </a:rPr>
            <a:t> </a:t>
          </a:r>
          <a:endParaRPr lang="en-US">
            <a:effectLst/>
          </a:endParaRPr>
        </a:p>
        <a:p>
          <a:r>
            <a:rPr lang="en-US" sz="1100" b="1" baseline="0">
              <a:solidFill>
                <a:schemeClr val="dk1"/>
              </a:solidFill>
              <a:effectLst/>
              <a:latin typeface="+mn-lt"/>
              <a:ea typeface="+mn-ea"/>
              <a:cs typeface="+mn-cs"/>
            </a:rPr>
            <a:t>3.Digital Cross Selling Campaigns: launch targeted cross-selling promotional campaigns diectly through the Mobile App and WhatsApp lines ,offering bundled discount to encourage specifically customers who buy milk/beverages to also purchase underperforming categores like cereals and sugars. </a:t>
          </a:r>
        </a:p>
        <a:p>
          <a:endParaRPr lang="en-US">
            <a:effectLst/>
          </a:endParaRPr>
        </a:p>
        <a:p>
          <a:r>
            <a:rPr lang="en-US" sz="1100" b="1" baseline="0">
              <a:solidFill>
                <a:schemeClr val="dk1"/>
              </a:solidFill>
              <a:effectLst/>
              <a:latin typeface="+mn-lt"/>
              <a:ea typeface="+mn-ea"/>
              <a:cs typeface="+mn-cs"/>
            </a:rPr>
            <a:t>4.Key Account Retention &amp; Client Diversifiction: Establish a formal loyalty program for the top 5 buying clients, especially Rodam Enterprises,offering them structured volume  discounts or priority delivery windows to lock in loyalty.Concurrently, mandate the sales team to aggressively  onboard new mid-tier supermarket chains to dilute our customer dependency risk.</a:t>
          </a:r>
        </a:p>
        <a:p>
          <a:endParaRPr lang="en-US">
            <a:effectLst/>
          </a:endParaRPr>
        </a:p>
        <a:p>
          <a:pPr lvl="1"/>
          <a:r>
            <a:rPr lang="en-US" sz="1100" b="1" baseline="0">
              <a:solidFill>
                <a:schemeClr val="dk1"/>
              </a:solidFill>
              <a:effectLst/>
              <a:latin typeface="+mn-lt"/>
              <a:ea typeface="+mn-ea"/>
              <a:cs typeface="+mn-cs"/>
            </a:rPr>
            <a:t>TASK4: PRESENTING TO THE BOARDS OF DIRECTOR</a:t>
          </a:r>
        </a:p>
        <a:p>
          <a:pPr lvl="1"/>
          <a:endParaRPr lang="en-US">
            <a:effectLst/>
          </a:endParaRPr>
        </a:p>
        <a:p>
          <a:r>
            <a:rPr lang="en-US" sz="1100" b="1" u="dbl" baseline="0">
              <a:solidFill>
                <a:schemeClr val="dk1"/>
              </a:solidFill>
              <a:effectLst/>
              <a:latin typeface="+mn-lt"/>
              <a:ea typeface="+mn-ea"/>
              <a:cs typeface="+mn-cs"/>
            </a:rPr>
            <a:t>1: </a:t>
          </a:r>
          <a:r>
            <a:rPr lang="en-US" sz="1100" b="1" baseline="0">
              <a:solidFill>
                <a:schemeClr val="dk1"/>
              </a:solidFill>
              <a:effectLst/>
              <a:latin typeface="+mn-lt"/>
              <a:ea typeface="+mn-ea"/>
              <a:cs typeface="+mn-cs"/>
            </a:rPr>
            <a:t>BUSINESS IMPACT: Profitability</a:t>
          </a:r>
          <a:endParaRPr lang="en-US">
            <a:effectLst/>
          </a:endParaRPr>
        </a:p>
        <a:p>
          <a:r>
            <a:rPr lang="en-US" sz="1100" b="1" baseline="0">
              <a:solidFill>
                <a:schemeClr val="dk1"/>
              </a:solidFill>
              <a:effectLst/>
              <a:latin typeface="+mn-lt"/>
              <a:ea typeface="+mn-ea"/>
              <a:cs typeface="+mn-cs"/>
            </a:rPr>
            <a:t>By applying a Top 10 value filter to our customers we can see exactly where our revenue is concentrated. Right now,small sachets have the fastests inventory turnover. By optimizing our warehouse fulfillment to focus heavily on these fast-moving sachets SKUs and downscaling slow-moving premium formats,we reduce capital lock-up, slash hlding costs,and directly improve our net profit margin.</a:t>
          </a:r>
        </a:p>
        <a:p>
          <a:endParaRPr lang="en-US">
            <a:effectLst/>
          </a:endParaRPr>
        </a:p>
        <a:p>
          <a:r>
            <a:rPr lang="en-US" sz="1100" b="1" baseline="0">
              <a:solidFill>
                <a:schemeClr val="dk1"/>
              </a:solidFill>
              <a:effectLst/>
              <a:latin typeface="+mn-lt"/>
              <a:ea typeface="+mn-ea"/>
              <a:cs typeface="+mn-cs"/>
            </a:rPr>
            <a:t>B: Cusomer Sastification</a:t>
          </a:r>
          <a:endParaRPr lang="en-US">
            <a:effectLst/>
          </a:endParaRPr>
        </a:p>
        <a:p>
          <a:r>
            <a:rPr lang="en-US" sz="1100" b="1" baseline="0">
              <a:solidFill>
                <a:schemeClr val="dk1"/>
              </a:solidFill>
              <a:effectLst/>
              <a:latin typeface="+mn-lt"/>
              <a:ea typeface="+mn-ea"/>
              <a:cs typeface="+mn-cs"/>
            </a:rPr>
            <a:t>The order channel proves that 82.9% of  the distributors choose to buy via the mobile App and WhatsApp. Customer satisfication is tied directly to digital convenience.if the Company invest in automating the whatsapp order processing pipeline, it can offer frictionless24/7 0rdering,eliminate human manual data errors, and gurantee faster distribution delivery cycles.</a:t>
          </a:r>
        </a:p>
        <a:p>
          <a:endParaRPr lang="en-US">
            <a:effectLst/>
          </a:endParaRPr>
        </a:p>
        <a:p>
          <a:r>
            <a:rPr lang="en-US" sz="1100" b="1" baseline="0">
              <a:solidFill>
                <a:schemeClr val="dk1"/>
              </a:solidFill>
              <a:effectLst/>
              <a:latin typeface="+mn-lt"/>
              <a:ea typeface="+mn-ea"/>
              <a:cs typeface="+mn-cs"/>
            </a:rPr>
            <a:t>C: Market Share </a:t>
          </a:r>
          <a:endParaRPr lang="en-US">
            <a:effectLst/>
          </a:endParaRPr>
        </a:p>
        <a:p>
          <a:r>
            <a:rPr lang="en-US" sz="1100" b="1" baseline="0">
              <a:solidFill>
                <a:schemeClr val="dk1"/>
              </a:solidFill>
              <a:effectLst/>
              <a:latin typeface="+mn-lt"/>
              <a:ea typeface="+mn-ea"/>
              <a:cs typeface="+mn-cs"/>
            </a:rPr>
            <a:t>The Company's Contribution chart proves that Nestle and Arla are their market anchors. To expand its market share safely without being vulnerable to a single customer like Rodam Enterprises, the selling team must use the company's digital dominance to acquire mid-tier retail supermarkets, creating a more diversified and resilent B2B ecosystem.</a:t>
          </a:r>
          <a:endParaRPr lang="en-US">
            <a:effectLst/>
          </a:endParaRP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8.918588541666" createdVersion="8" refreshedVersion="8" minRefreshableVersion="3" recordCount="434" xr:uid="{3EC922DE-3350-4EC1-944C-9FF0A1702C8F}">
  <cacheSource type="worksheet">
    <worksheetSource ref="A1:T435" sheet="workedsheet"/>
  </cacheSource>
  <cacheFields count="20">
    <cacheField name="0rderedAt" numFmtId="14">
      <sharedItems containsSemiMixedTypes="0" containsNonDate="0" containsDate="1" containsString="0" minDate="2020-01-12T00:00:00" maxDate="2020-12-13T00:00:00"/>
    </cacheField>
    <cacheField name="Year" numFmtId="1">
      <sharedItems containsSemiMixedTypes="0" containsString="0" containsNumber="1" containsInteger="1" minValue="2020" maxValue="2020"/>
    </cacheField>
    <cacheField name="Month" numFmtId="1">
      <sharedItems containsSemiMixedTypes="0" containsString="0" containsNumber="1" containsInteger="1" minValue="1" maxValue="12" count="12">
        <n v="1"/>
        <n v="2"/>
        <n v="3"/>
        <n v="4"/>
        <n v="5"/>
        <n v="7"/>
        <n v="9"/>
        <n v="10"/>
        <n v="11"/>
        <n v="6"/>
        <n v="8"/>
        <n v="12"/>
      </sharedItems>
    </cacheField>
    <cacheField name="Day" numFmtId="1">
      <sharedItems containsSemiMixedTypes="0" containsString="0" containsNumber="1" containsInteger="1" minValue="12" maxValue="12"/>
    </cacheField>
    <cacheField name="Months" numFmtId="1">
      <sharedItems count="12">
        <s v="January"/>
        <s v="February"/>
        <s v="March"/>
        <s v="April"/>
        <s v="May"/>
        <s v="July"/>
        <s v="September"/>
        <s v="October"/>
        <s v="November"/>
        <s v="June"/>
        <s v="August"/>
        <s v="December"/>
      </sharedItems>
    </cacheField>
    <cacheField name="Order No." numFmtId="0">
      <sharedItems count="171">
        <s v="STU-2143266178"/>
        <s v="STU-2143266042"/>
        <s v="STU-2143265849"/>
        <s v="STU-2143267313"/>
        <s v="STU-2143266855"/>
        <s v="STU-2143266857"/>
        <s v="STU-2143266287"/>
        <s v="STU-2143268417"/>
        <s v="STU-2143269248"/>
        <s v="STU-2143269092"/>
        <s v="STU-2143269535"/>
        <s v="STU-2143270028"/>
        <s v="STU-2143270057"/>
        <s v="STU-2143271381"/>
        <s v="STU-2143271014"/>
        <s v="STU-2143273675"/>
        <s v="STU-2143273474"/>
        <s v="STU-2143274937"/>
        <s v="STU-2143275021"/>
        <s v="STU-2143276212"/>
        <s v="STU-2143276543"/>
        <s v="STU-2143267563"/>
        <s v="STU-2143267617"/>
        <s v="STU-2143269628"/>
        <s v="STU-2143268945"/>
        <s v="STU-2143269622"/>
        <s v="STU-2143270134"/>
        <s v="STU-2143271251"/>
        <s v="STU-2143269289"/>
        <s v="STU-2143271675"/>
        <s v="STU-2143277102"/>
        <s v="STU-2143265387"/>
        <s v="STU-2143266171"/>
        <s v="STU-2143265293"/>
        <s v="STU-2143265420"/>
        <s v="STU-2143266108"/>
        <s v="STU-2143265773"/>
        <s v="STU-2143266167"/>
        <s v="STU-2143265197"/>
        <s v="STU-2143267278"/>
        <s v="STU-2143267224"/>
        <s v="STU-2143267490"/>
        <s v="STU-2143266229"/>
        <s v="STU-2143266265"/>
        <s v="STU-2143266844"/>
        <s v="STU-2143267458"/>
        <s v="STU-2143267463"/>
        <s v="STU-2143266308"/>
        <s v="STU-2143267281"/>
        <s v="STU-2143267526"/>
        <s v="STU-2143266290"/>
        <s v="STU-2143267860"/>
        <s v="STU-2143267846"/>
        <s v="STU-2143267985"/>
        <s v="STU-2143268023"/>
        <s v="STU-2143268392"/>
        <s v="STU-2143268364"/>
        <s v="STU-2143268558"/>
        <s v="STU-2143268607"/>
        <s v="STU-2143268557"/>
        <s v="STU-2143268560"/>
        <s v="STU-2143268621"/>
        <s v="STU-2143268622"/>
        <s v="STU-2143268536"/>
        <s v="STU-2143268613"/>
        <s v="STU-2143268093"/>
        <s v="STU-2143269483"/>
        <s v="STU-2143269308"/>
        <s v="STU-2143269095"/>
        <s v="STU-2143269141"/>
        <s v="STU-2143269450"/>
        <s v="STU-2143269454"/>
        <s v="STU-2143268627"/>
        <s v="STU-2143269475"/>
        <s v="STU-2143269874"/>
        <s v="STU-2143269974"/>
        <s v="STU-2143269692"/>
        <s v="STU-2143269860"/>
        <s v="STU-2143269790"/>
        <s v="STU-2143270110"/>
        <s v="STU-2143269166"/>
        <s v="STU-2143270077"/>
        <s v="STU-2143270113"/>
        <s v="STU-2143269836"/>
        <s v="STU-2143269511"/>
        <s v="STU-2143270855"/>
        <s v="STU-2143270980"/>
        <s v="STU-2143270718"/>
        <s v="STU-2143271355"/>
        <s v="STU-2143271427"/>
        <s v="STU-2143271397"/>
        <s v="STU-2143270757"/>
        <s v="STU-2143271242"/>
        <s v="STU-2143270937"/>
        <s v="STU-2143270245"/>
        <s v="STU-2143271357"/>
        <s v="STU-2143271997"/>
        <s v="STU-2143272435"/>
        <s v="STU-2143272279"/>
        <s v="STU-2143272448"/>
        <s v="STU-2143271605"/>
        <s v="STU-2143271860"/>
        <s v="STU-2143271443"/>
        <s v="STU-2143272210"/>
        <s v="STU-2143271934"/>
        <s v="STU-2143271446"/>
        <s v="STU-2143271766"/>
        <s v="STU-2143271958"/>
        <s v="STU-2143271946"/>
        <s v="STU-2143273333"/>
        <s v="STU-2143273112"/>
        <s v="STU-2143273837"/>
        <s v="STU-2143273655"/>
        <s v="STU-2143273688"/>
        <s v="STU-2143273399"/>
        <s v="STU-2143273075"/>
        <s v="STU-2143273708"/>
        <s v="STU-2143273860"/>
        <s v="STU-2143272764"/>
        <s v="STU-2143273768"/>
        <s v="STU-2143273760"/>
        <s v="STU-2143272808"/>
        <s v="STU-2143274741"/>
        <s v="STU-2143274707"/>
        <s v="STU-2143274727"/>
        <s v="STU-2143274600"/>
        <s v="STU-2143274581"/>
        <s v="STU-2143273918"/>
        <s v="STU-2143274793"/>
        <s v="STU-2143274584"/>
        <s v="STU-2143274671"/>
        <s v="STU-2143275110"/>
        <s v="STU-2143274983"/>
        <s v="STU-2143275155"/>
        <s v="STU-2143273997"/>
        <s v="STU-2143274524"/>
        <s v="STU-2143274948"/>
        <s v="STU-2143275169"/>
        <s v="STU-2143276533"/>
        <s v="STU-2143275855"/>
        <s v="STU-2143275894"/>
        <s v="STU-2143276532"/>
        <s v="STU-2143276530"/>
        <s v="STU-2143276423"/>
        <s v="STU-2143276161"/>
        <s v="STU-2143275931"/>
        <s v="STU-2143276520"/>
        <s v="STU-2143276205"/>
        <s v="STU-2143276062"/>
        <s v="STU-2143276203"/>
        <s v="STU-2143276345"/>
        <s v="STU-2143276518"/>
        <s v="STU-2143276286"/>
        <s v="STU-2143276250"/>
        <s v="STU-2143277293"/>
        <s v="STU-2143276931"/>
        <s v="STU-2143277191"/>
        <s v="STU-2143276569"/>
        <s v="STU-2143269671"/>
        <s v="STU-2143269672"/>
        <s v="STU-2143276767"/>
        <s v="STU-2143276867"/>
        <s v="STU-2143276625"/>
        <s v="STU-2143277308"/>
        <s v="STU-2143276895"/>
        <s v="STU-2143277284"/>
        <s v="STU-2143276601"/>
        <s v="STU-2143277017"/>
        <s v="STU-2143277011"/>
        <s v="STU-2143276965"/>
        <s v="STU-2143276890"/>
      </sharedItems>
    </cacheField>
    <cacheField name="Customer Name" numFmtId="0">
      <sharedItems count="104">
        <s v="Rodam Enterprises"/>
        <s v="O And K Super Store"/>
        <s v="Jovik Minimart"/>
        <s v="Sweet Gift Shop"/>
        <s v="Akinro Minimart"/>
        <s v="Francisco"/>
        <s v="Domec Minimart 2"/>
        <s v="Heritage Steve Super Minimarts"/>
        <s v="Simple N sweet foods"/>
        <s v="Isaac Minimarts"/>
        <s v="Madam Chibuike"/>
        <s v="Than-all Minimart"/>
        <s v="Lotage Minimarts"/>
        <s v="Ac Godson"/>
        <s v="olakem"/>
        <s v="Winsolight"/>
        <s v="Silver Destiny"/>
        <s v="K.c Minimart"/>
        <s v="Afam Nkechi"/>
        <s v="Suncomm Minimarts"/>
        <s v="TASUDON MinimartS"/>
        <s v="Ecoben Minimart"/>
        <s v="Mutay Super Store"/>
        <s v="P D Super Store"/>
        <s v="Ona_ara Minimart"/>
        <s v="Grandy Minimarts"/>
        <s v="Sariki Minimart"/>
        <s v="Madam Wisdom Minimart"/>
        <s v="Morfas Minimart"/>
        <s v="Rich Bon Minimart"/>
        <s v="Chucks nvestment"/>
        <s v="Madam Akindele Minimart"/>
        <s v="Mj Minimart"/>
        <s v="Omolara Minimart"/>
        <s v="C B C Minimart"/>
        <s v="Williams Minimarts"/>
        <s v="God's Heritage"/>
        <s v="Zeehmamas Super Store"/>
        <s v="Sam B Minimarts"/>
        <s v="Samson Super Store"/>
        <s v="Abusiedumare Minimart"/>
        <s v="Nk Minimarts"/>
        <s v="Hi Mart Minimart"/>
        <s v="Rafat Minimart"/>
        <s v="Iyawo Minimart"/>
        <s v="De Young Minimarts"/>
        <s v="AbolOla Minimarts"/>
        <s v="Fortune Supermarket"/>
        <s v="Metro Minimart"/>
        <s v="Olaboy Minimart"/>
        <s v="Madam rahman Minimart"/>
        <s v="Brasq"/>
        <s v="Glory Minimarts"/>
        <s v="Chika Minimart"/>
        <s v="Funky Minimart"/>
        <s v="Bay-on Minimart"/>
        <s v="Alhaja Eggs"/>
        <s v="Emmacity Holdings Minimarts"/>
        <s v="Champion Minimart"/>
        <s v="Iya Lekan Minimart"/>
        <s v="Fairmoon Supermarket"/>
        <s v="Louiz Mart"/>
        <s v="Olufayo Minimart"/>
        <s v="Oreofe Minimart"/>
        <s v="Oladeji Minimart"/>
        <s v="Mum Aliya"/>
        <s v="S.t.p Enterprise"/>
        <s v="Hajiya Minimart"/>
        <s v="Sis Glory"/>
        <s v="Aboki wife's shop"/>
        <s v="Simeon Madam"/>
        <s v="Santa Maria Minimarts"/>
        <s v="Josu Minimart"/>
        <s v="Alhaja"/>
        <s v="Solo Minimarts"/>
        <s v="Free Man Minimarts"/>
        <s v="Kuchys Place 2"/>
        <s v="Able God"/>
        <s v="aktit farm supermarket"/>
        <s v="ogba"/>
        <s v="Mum Wisdom Minimart"/>
        <s v="Gods Own Minimart"/>
        <s v="Mavelouse Minimart"/>
        <s v="Basil Minimart"/>
        <s v="Peace Minimarts"/>
        <s v="Gods Minimart"/>
        <s v="Ejike Minimart"/>
        <s v="Iya Mariam"/>
        <s v="Anawu Minimart"/>
        <s v="smine me Minimart"/>
        <s v="Mz Good Rich Supermarket"/>
        <s v="bolly Super Store"/>
        <s v="Ibukunoluwa Minimart"/>
        <s v="Ceeford Minimart"/>
        <s v="Udapaul Nig"/>
        <s v="Taisan Minimart"/>
        <s v="Oge Mini Mart"/>
        <s v="success 234 ojota"/>
        <s v="David Minimart"/>
        <s v="Madam Claire"/>
        <s v="A Square Minimart"/>
        <s v="Tolchukwu Minimart"/>
        <s v="God Grace Minimart"/>
        <s v="Gods Prosper Minimart"/>
      </sharedItems>
    </cacheField>
    <cacheField name="Producer" numFmtId="0">
      <sharedItems count="18">
        <s v="Hayat Kimya Nigeria Limited"/>
        <s v="FrieslandCampina WAMCO Nigeria"/>
        <s v="Nestle Nigeria Plc"/>
        <s v="PZ Cussons Nigeria Plc"/>
        <s v="Procter and Gamble"/>
        <s v="Unilever Nigeria Plc"/>
        <s v="Promasidor"/>
        <s v="Fastizers Food Confectionery"/>
        <s v="Nasco"/>
        <s v="Cadbury Nigeria Plc"/>
        <s v="Arla Foods"/>
        <s v="Chi Nigeria Limited"/>
        <s v="GB Foods"/>
        <s v="Tradedepot Imported"/>
        <s v="Mikano Intl Limited"/>
        <s v="MistaChoco"/>
        <s v="Dangote"/>
        <s v="Infinity Snacks and Beverages Limited"/>
      </sharedItems>
    </cacheField>
    <cacheField name="Product" numFmtId="0">
      <sharedItems count="30">
        <s v="Molfix Twin"/>
        <s v="My Boy Eldorin Infant Formula"/>
        <s v="NAN Infant Formula"/>
        <s v="Molfix Jumbo"/>
        <s v="Molfix Small"/>
        <s v="SMA GOLD"/>
        <s v="Premier Bar Soap"/>
        <s v="Always Sanitary Pad"/>
        <s v="Close Up (Spc)"/>
        <s v="Nestle Milo"/>
        <s v="Nestle Golden Morn"/>
        <s v="Cowbell Milk"/>
        <s v="Nibit Cookies"/>
        <s v="Peak Milk"/>
        <s v="Nasco Cornflakes"/>
        <s v="Bournvita"/>
        <s v="Loya Milk"/>
        <s v="Dano Cool Cow"/>
        <s v="Hollandia Evap. Milk"/>
        <s v="Bama Mayonnaise"/>
        <s v="Three Crowns Milk"/>
        <s v="Nasco Biscuit"/>
        <s v="Dano Full Cream"/>
        <s v="Nescafe"/>
        <s v="Checkers Custard"/>
        <s v="Mac Wafers"/>
        <s v="MistaChoco 15g"/>
        <s v="Blue Band Spread"/>
        <s v="Dangote Sugar"/>
        <s v="Infinity  Cornflakes"/>
      </sharedItems>
    </cacheField>
    <cacheField name="Category Group" numFmtId="0">
      <sharedItems count="3">
        <s v="Baby"/>
        <s v="Beauty &amp; Personal Care"/>
        <s v="Breakfast &amp; Snacks"/>
      </sharedItems>
    </cacheField>
    <cacheField name="Category" numFmtId="0">
      <sharedItems count="14">
        <s v="Infant Care"/>
        <s v="Baby Food"/>
        <s v="Toileteries"/>
        <s v="Oral Care"/>
        <s v="Chocolate Beverage"/>
        <s v="Cereal"/>
        <s v="Milk"/>
        <s v="Confectionary"/>
        <s v="Yoghurt"/>
        <s v="Spreads"/>
        <s v="Biscuits"/>
        <s v="Coffee / Tea"/>
        <s v="Butter"/>
        <s v="Sugar"/>
      </sharedItems>
    </cacheField>
    <cacheField name="Variant" numFmtId="0">
      <sharedItems count="72">
        <s v="Molfix Twin Midi(4-9 Kg) x 36 x 4"/>
        <s v="Molfix Twin Mini(3-6 kg) by 40, pack of 4"/>
        <s v="Molfix Twin Maxi(7-18 kg) by 32, pack of 4"/>
        <s v="My Boy Eldorin Infant Formula 454g x 12"/>
        <s v="NAN 1 Bullet 400g x 12"/>
        <s v="Molfix Jumbo Maxi(7-18 kg) by 80"/>
        <s v="Nan 3 Bullet 400g x 12"/>
        <s v="Molfix Small Midi(4-9 kg) by 9, pack of 10"/>
        <s v="Molfix Small Mini(3-6 kg) by 10, pack of 12"/>
        <s v="Molfix Jumbo Midi(4-9 Kg) x 88 x 3"/>
        <s v="SMA Gold Follow on Mpwdr Can 12 x 400g x4"/>
        <s v="Premier Soap Rose 65G x 104"/>
        <s v="Premier Luxurious Milk Family Bar Soap 55g x 104"/>
        <s v="Premier Luxurious Milk Family Bar Soap 175g x 32"/>
        <s v="Always Ultra Single Blue 16 x 7"/>
        <s v="Premier Soap Lemon 55g x 104"/>
        <s v="Close-Up Naija Herbal 140g x 50"/>
        <s v="Premier Cool Deo Bar Soap 60g x 72"/>
        <s v="Milo Activ-Go Sachet 400g x 10 + (20g x 10 Free)"/>
        <s v="Milo Sachet 20g x 240"/>
        <s v="Nestle Golden Morn 450g x 12"/>
        <s v="Cowbell Chocolate Sachet 20g x 26 x 10"/>
        <s v="Nibit Mini Snacks Chocolate Cookies 60g x 72"/>
        <s v="Peak Yoghurt 315ml Orange"/>
        <s v="Nasco Cornflakes Original Sachet 30g x 36"/>
        <s v="Nibit Mini Snacks Milky Cookies 60g x 72"/>
        <s v="Peak Nig Tray 160g x 24"/>
        <s v="Milo Refill 200g x 24"/>
        <s v="Milo Activ-Go Sachet (800g + 100g Free) x 6"/>
        <s v="Cadbury Bournvita Sachet 20g x 200"/>
        <s v="Loya 320g Refill x 12"/>
        <s v="Dano Cool Cow Choco Sachet 18g x 250"/>
        <s v="Peak Evap Filled 160g x 24"/>
        <s v="Dano Cool Cow Sachet 12g x 260 + 30 Sachet Free"/>
        <s v="Cowbell Coffee 20g Sachet x 200"/>
        <s v="Dano Cool Cow Refill 350g x 12"/>
        <s v="HOLLANDIA EVAP MILK 190G x 24"/>
        <s v="Cowbell Sachet 12g x 200"/>
        <s v="BAMA MAYONNAISE FL.OZ 909ML JARS X 12"/>
        <s v="Golden Morn 50g x100"/>
        <s v="Cadbury Bournvita Refill 500g x 12"/>
        <s v="Bama Mayonnaise (Pet) 8Oz x 12 (226 ML)"/>
        <s v="Milo 1kg x 6 Tin"/>
        <s v="Milo 12 x 500g Tin"/>
        <s v="Three Crowns Instant Filled Milk Powder Sachet 320g x 12"/>
        <s v="Nasco Shortcake 120g  x 36"/>
        <s v="HOLLANDIA EVAP MILK 50ML x 48"/>
        <s v="Dano Cool Cow Refill 800g x 12"/>
        <s v="DANO FULL CREAM 12 X 800G"/>
        <s v="Nescafé Breakfast 3 in 1 (36 x 8) 32g"/>
        <s v="Nasco Coco Pops 32g x 36"/>
        <s v="Nasco Original Cornflakes 350g x 10"/>
        <s v="Checkers Custard Powder Vanilla Flavour 400g Refill"/>
        <s v="Dano Cool Cow Sachet 150g x 36"/>
        <s v="DANO FULL CREAM 12 X 350G"/>
        <s v="Mac Crunchy Chocolate Coated Wafer 20g x 80"/>
        <s v="Mac Max Vanilla Wafer 15g x 120"/>
        <s v="Peak Nig Tray 170g x 48"/>
        <s v="Hollandia Evap Slim 120g x 24"/>
        <s v="Nasco Original Cornflakes 500g x 8"/>
        <s v="Hollandia Evap Slim 190g x 24"/>
        <s v="Nestle Golden Morn 900g"/>
        <s v="MistaChoco and Sistachoco Promo Pack 15g x 50"/>
        <s v="One Free Hanger of MistaChoco"/>
        <s v="Blue Band Spread For Bread 250g x 24"/>
        <s v="Dangote Granulated Sugar 250g"/>
        <s v="Infinity Cornflakes Sachet 30g x 36"/>
        <s v="Dangote Granulated Sugar 500g"/>
        <s v="Peak Milk Tin 400g x 12"/>
        <s v="THREE CROWN EVAP TRAY 24 X 170G"/>
        <s v="Peak 123 gum Sachets 360g x 12"/>
        <s v="Peak Milk Powder Sachet 14g x 210"/>
      </sharedItems>
    </cacheField>
    <cacheField name="Quantity" numFmtId="0">
      <sharedItems containsSemiMixedTypes="0" containsString="0" containsNumber="1" minValue="0.25" maxValue="60"/>
    </cacheField>
    <cacheField name="Unit Price" numFmtId="0">
      <sharedItems containsSemiMixedTypes="0" containsString="0" containsNumber="1" containsInteger="1" minValue="1" maxValue="35000"/>
    </cacheField>
    <cacheField name="Sales" numFmtId="4">
      <sharedItems containsSemiMixedTypes="0" containsString="0" containsNumber="1" minValue="1" maxValue="405000"/>
    </cacheField>
    <cacheField name="shippingStatus" numFmtId="0">
      <sharedItems/>
    </cacheField>
    <cacheField name="Delivery Agent" numFmtId="0">
      <sharedItems/>
    </cacheField>
    <cacheField name="Delivery" numFmtId="14">
      <sharedItems containsDate="1" containsMixedTypes="1" minDate="2020-02-12T00:00:00" maxDate="2020-12-13T00:00:00"/>
    </cacheField>
    <cacheField name="Customer Type" numFmtId="0">
      <sharedItems/>
    </cacheField>
    <cacheField name="Order Channel" numFmtId="0">
      <sharedItems count="3">
        <s v="Mobile App"/>
        <s v="Whatsapp"/>
        <s v="USSD"/>
      </sharedItems>
    </cacheField>
  </cacheFields>
  <extLst>
    <ext xmlns:x14="http://schemas.microsoft.com/office/spreadsheetml/2009/9/main" uri="{725AE2AE-9491-48be-B2B4-4EB974FC3084}">
      <x14:pivotCacheDefinition pivotCacheId="9815259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8.99221099537" backgroundQuery="1" createdVersion="8" refreshedVersion="8" minRefreshableVersion="3" recordCount="0" supportSubquery="1" supportAdvancedDrill="1" xr:uid="{D788F5FB-27E4-4D64-AC09-24C11FADE858}">
  <cacheSource type="external" connectionId="1"/>
  <cacheFields count="2">
    <cacheField name="[Range].[Product].[Product]" caption="Product" numFmtId="0" hierarchy="8" level="1">
      <sharedItems count="30">
        <s v="Always Sanitary Pad"/>
        <s v="Bama Mayonnaise"/>
        <s v="Blue Band Spread"/>
        <s v="Bournvita"/>
        <s v="Checkers Custard"/>
        <s v="Close Up (Spc)"/>
        <s v="Cowbell Milk"/>
        <s v="Dangote Sugar"/>
        <s v="Dano Cool Cow"/>
        <s v="Dano Full Cream"/>
        <s v="Hollandia Evap. Milk"/>
        <s v="Infinity  Cornflakes"/>
        <s v="Loya Milk"/>
        <s v="Mac Wafers"/>
        <s v="MistaChoco 15g"/>
        <s v="Molfix Jumbo"/>
        <s v="Molfix Small"/>
        <s v="Molfix Twin"/>
        <s v="My Boy Eldorin Infant Formula"/>
        <s v="NAN Infant Formula"/>
        <s v="Nasco Biscuit"/>
        <s v="Nasco Cornflakes"/>
        <s v="Nescafe"/>
        <s v="Nestle Golden Morn"/>
        <s v="Nestle Milo"/>
        <s v="Nibit Cookies"/>
        <s v="Peak Milk"/>
        <s v="Premier Bar Soap"/>
        <s v="SMA GOLD"/>
        <s v="Three Crowns Milk"/>
      </sharedItems>
    </cacheField>
    <cacheField name="[Measures].[Distinct Count of Product]" caption="Distinct Count of Product" numFmtId="0" hierarchy="31" level="32767"/>
  </cacheFields>
  <cacheHierarchies count="32">
    <cacheHierarchy uniqueName="[Range].[0rderedAt]" caption="0rderedAt" attribute="1" time="1" defaultMemberUniqueName="[Range].[0rderedAt].[All]" allUniqueName="[Range].[0rderedAt].[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Day]" caption="Day" attribute="1" defaultMemberUniqueName="[Range].[Day].[All]" allUniqueName="[Range].[Day].[All]" dimensionUniqueName="[Range]" displayFolder="" count="0" memberValueDatatype="20" unbalanced="0"/>
    <cacheHierarchy uniqueName="[Range].[Months]" caption="Months" attribute="1" defaultMemberUniqueName="[Range].[Months].[All]" allUniqueName="[Range].[Months].[All]" dimensionUniqueName="[Range]" displayFolder="" count="0" memberValueDatatype="130" unbalanced="0"/>
    <cacheHierarchy uniqueName="[Range].[Order No.]" caption="Order No." attribute="1" defaultMemberUniqueName="[Range].[Order No.].[All]" allUniqueName="[Range].[Order No.].[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Producer]" caption="Producer" attribute="1" defaultMemberUniqueName="[Range].[Producer].[All]" allUniqueName="[Range].[Produc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Group]" caption="Category Group" attribute="1" defaultMemberUniqueName="[Range].[Category Group].[All]" allUniqueName="[Range].[Category Group].[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Variant]" caption="Variant" attribute="1" defaultMemberUniqueName="[Range].[Variant].[All]" allUniqueName="[Range].[Varian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Unit Price]" caption="Unit Price" attribute="1" defaultMemberUniqueName="[Range].[Unit Price].[All]" allUniqueName="[Range].[Unit Pric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hippingStatus]" caption="shippingStatus" attribute="1" defaultMemberUniqueName="[Range].[shippingStatus].[All]" allUniqueName="[Range].[shippingStatus].[All]" dimensionUniqueName="[Range]" displayFolder="" count="0" memberValueDatatype="130" unbalanced="0"/>
    <cacheHierarchy uniqueName="[Range].[Delivery Agent]" caption="Delivery Agent" attribute="1" defaultMemberUniqueName="[Range].[Delivery Agent].[All]" allUniqueName="[Range].[Delivery Agent].[All]" dimensionUniqueName="[Range]" displayFolder="" count="0" memberValueDatatype="130" unbalanced="0"/>
    <cacheHierarchy uniqueName="[Range].[Delivery]" caption="Delivery" attribute="1" defaultMemberUniqueName="[Range].[Delivery].[All]" allUniqueName="[Range].[Deliver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Order Channel]" caption="Order Channel" attribute="1" defaultMemberUniqueName="[Range].[Order Channel].[All]" allUniqueName="[Range].[Order Channe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Sales]" caption="Distinct Count of Sales" measure="1" displayFolder="" measureGroup="Range" count="0" hidden="1">
      <extLst>
        <ext xmlns:x15="http://schemas.microsoft.com/office/spreadsheetml/2010/11/main" uri="{B97F6D7D-B522-45F9-BDA1-12C45D357490}">
          <x15:cacheHierarchy aggregatedColumn="14"/>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Rang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2"/>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2"/>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5"/>
        </ext>
      </extLst>
    </cacheHierarchy>
    <cacheHierarchy uniqueName="[Measures].[Distinct Count of Order No.]" caption="Distinct Count of Order No." measure="1" displayFolder="" measureGroup="Rang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8"/>
        </ext>
      </extLst>
    </cacheHierarchy>
    <cacheHierarchy uniqueName="[Measures].[Distinct Count of Product]" caption="Distinct Count of Produc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8.989875462961" backgroundQuery="1" createdVersion="8" refreshedVersion="8" minRefreshableVersion="3" recordCount="0" supportSubquery="1" supportAdvancedDrill="1" xr:uid="{9FBE57EA-97C5-412E-87CA-C9A036AE7557}">
  <cacheSource type="external" connectionId="1"/>
  <cacheFields count="2">
    <cacheField name="[Range].[Product].[Product]" caption="Product" numFmtId="0" hierarchy="8" level="1">
      <sharedItems count="30">
        <s v="Always Sanitary Pad"/>
        <s v="Bama Mayonnaise"/>
        <s v="Blue Band Spread"/>
        <s v="Bournvita"/>
        <s v="Checkers Custard"/>
        <s v="Close Up (Spc)"/>
        <s v="Cowbell Milk"/>
        <s v="Dangote Sugar"/>
        <s v="Dano Cool Cow"/>
        <s v="Dano Full Cream"/>
        <s v="Hollandia Evap. Milk"/>
        <s v="Infinity  Cornflakes"/>
        <s v="Loya Milk"/>
        <s v="Mac Wafers"/>
        <s v="MistaChoco 15g"/>
        <s v="Molfix Jumbo"/>
        <s v="Molfix Small"/>
        <s v="Molfix Twin"/>
        <s v="My Boy Eldorin Infant Formula"/>
        <s v="NAN Infant Formula"/>
        <s v="Nasco Biscuit"/>
        <s v="Nasco Cornflakes"/>
        <s v="Nescafe"/>
        <s v="Nestle Golden Morn"/>
        <s v="Nestle Milo"/>
        <s v="Nibit Cookies"/>
        <s v="Peak Milk"/>
        <s v="Premier Bar Soap"/>
        <s v="SMA GOLD"/>
        <s v="Three Crowns Milk"/>
      </sharedItems>
    </cacheField>
    <cacheField name="[Measures].[Distinct Count of Order No.]" caption="Distinct Count of Order No." numFmtId="0" hierarchy="29" level="32767"/>
  </cacheFields>
  <cacheHierarchies count="32">
    <cacheHierarchy uniqueName="[Range].[0rderedAt]" caption="0rderedAt" attribute="1" time="1" defaultMemberUniqueName="[Range].[0rderedAt].[All]" allUniqueName="[Range].[0rderedAt].[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Day]" caption="Day" attribute="1" defaultMemberUniqueName="[Range].[Day].[All]" allUniqueName="[Range].[Day].[All]" dimensionUniqueName="[Range]" displayFolder="" count="0" memberValueDatatype="20" unbalanced="0"/>
    <cacheHierarchy uniqueName="[Range].[Months]" caption="Months" attribute="1" defaultMemberUniqueName="[Range].[Months].[All]" allUniqueName="[Range].[Months].[All]" dimensionUniqueName="[Range]" displayFolder="" count="0" memberValueDatatype="130" unbalanced="0"/>
    <cacheHierarchy uniqueName="[Range].[Order No.]" caption="Order No." attribute="1" defaultMemberUniqueName="[Range].[Order No.].[All]" allUniqueName="[Range].[Order No.].[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Producer]" caption="Producer" attribute="1" defaultMemberUniqueName="[Range].[Producer].[All]" allUniqueName="[Range].[Produc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Group]" caption="Category Group" attribute="1" defaultMemberUniqueName="[Range].[Category Group].[All]" allUniqueName="[Range].[Category Group].[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Variant]" caption="Variant" attribute="1" defaultMemberUniqueName="[Range].[Variant].[All]" allUniqueName="[Range].[Varian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Unit Price]" caption="Unit Price" attribute="1" defaultMemberUniqueName="[Range].[Unit Price].[All]" allUniqueName="[Range].[Unit Pric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hippingStatus]" caption="shippingStatus" attribute="1" defaultMemberUniqueName="[Range].[shippingStatus].[All]" allUniqueName="[Range].[shippingStatus].[All]" dimensionUniqueName="[Range]" displayFolder="" count="0" memberValueDatatype="130" unbalanced="0"/>
    <cacheHierarchy uniqueName="[Range].[Delivery Agent]" caption="Delivery Agent" attribute="1" defaultMemberUniqueName="[Range].[Delivery Agent].[All]" allUniqueName="[Range].[Delivery Agent].[All]" dimensionUniqueName="[Range]" displayFolder="" count="0" memberValueDatatype="130" unbalanced="0"/>
    <cacheHierarchy uniqueName="[Range].[Delivery]" caption="Delivery" attribute="1" defaultMemberUniqueName="[Range].[Delivery].[All]" allUniqueName="[Range].[Deliver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Order Channel]" caption="Order Channel" attribute="1" defaultMemberUniqueName="[Range].[Order Channel].[All]" allUniqueName="[Range].[Order Channe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Sales]" caption="Distinct Count of Sales" measure="1" displayFolder="" measureGroup="Range" count="0" hidden="1">
      <extLst>
        <ext xmlns:x15="http://schemas.microsoft.com/office/spreadsheetml/2010/11/main" uri="{B97F6D7D-B522-45F9-BDA1-12C45D357490}">
          <x15:cacheHierarchy aggregatedColumn="14"/>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Rang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2"/>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2"/>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5"/>
        </ext>
      </extLst>
    </cacheHierarchy>
    <cacheHierarchy uniqueName="[Measures].[Distinct Count of Order No.]" caption="Distinct Count of Order No."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8"/>
        </ext>
      </extLst>
    </cacheHierarchy>
    <cacheHierarchy uniqueName="[Measures].[Distinct Count of Product]" caption="Distinct Count of Product"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8.98244861111" backgroundQuery="1" createdVersion="8" refreshedVersion="8" minRefreshableVersion="3" recordCount="0" supportSubquery="1" supportAdvancedDrill="1" xr:uid="{0B0EF90D-3299-46E2-A641-6CDCCA05B2E9}">
  <cacheSource type="external" connectionId="1"/>
  <cacheFields count="2">
    <cacheField name="[Range].[Customer Name].[Customer Name]" caption="Customer Name" numFmtId="0" hierarchy="6" level="1">
      <sharedItems count="104">
        <s v="A Square Minimart"/>
        <s v="Able God"/>
        <s v="Aboki wife's shop"/>
        <s v="AbolOla Minimarts"/>
        <s v="Abusiedumare Minimart"/>
        <s v="Ac Godson"/>
        <s v="Afam Nkechi"/>
        <s v="Akinro Minimart"/>
        <s v="aktit farm supermarket"/>
        <s v="Alhaja"/>
        <s v="Alhaja Eggs"/>
        <s v="Anawu Minimart"/>
        <s v="Basil Minimart"/>
        <s v="Bay-on Minimart"/>
        <s v="bolly Super Store"/>
        <s v="Brasq"/>
        <s v="C B C Minimart"/>
        <s v="Ceeford Minimart"/>
        <s v="Champion Minimart"/>
        <s v="Chika Minimart"/>
        <s v="Chucks nvestment"/>
        <s v="David Minimart"/>
        <s v="De Young Minimarts"/>
        <s v="Domec Minimart 2"/>
        <s v="Ecoben Minimart"/>
        <s v="Ejike Minimart"/>
        <s v="Emmacity Holdings Minimarts"/>
        <s v="Fairmoon Supermarket"/>
        <s v="Fortune Supermarket"/>
        <s v="Francisco"/>
        <s v="Free Man Minimarts"/>
        <s v="Funky Minimart"/>
        <s v="Glory Minimarts"/>
        <s v="God Grace Minimart"/>
        <s v="God's Heritage"/>
        <s v="Gods Minimart"/>
        <s v="Gods Own Minimart"/>
        <s v="Gods Prosper Minimart"/>
        <s v="Grandy Minimarts"/>
        <s v="Hajiya Minimart"/>
        <s v="Heritage Steve Super Minimarts"/>
        <s v="Hi Mart Minimart"/>
        <s v="Ibukunoluwa Minimart"/>
        <s v="Isaac Minimarts"/>
        <s v="Iya Lekan Minimart"/>
        <s v="Iya Mariam"/>
        <s v="Iyawo Minimart"/>
        <s v="Josu Minimart"/>
        <s v="Jovik Minimart"/>
        <s v="K.c Minimart"/>
        <s v="Kuchys Place 2"/>
        <s v="Lotage Minimarts"/>
        <s v="Louiz Mart"/>
        <s v="Madam Akindele Minimart"/>
        <s v="Madam Chibuike"/>
        <s v="Madam Claire"/>
        <s v="Madam rahman Minimart"/>
        <s v="Madam Wisdom Minimart"/>
        <s v="Mavelouse Minimart"/>
        <s v="Metro Minimart"/>
        <s v="Mj Minimart"/>
        <s v="Morfas Minimart"/>
        <s v="Mum Aliya"/>
        <s v="Mum Wisdom Minimart"/>
        <s v="Mutay Super Store"/>
        <s v="Mz Good Rich Supermarket"/>
        <s v="Nk Minimarts"/>
        <s v="O And K Super Store"/>
        <s v="ogba"/>
        <s v="Oge Mini Mart"/>
        <s v="Olaboy Minimart"/>
        <s v="Oladeji Minimart"/>
        <s v="olakem"/>
        <s v="Olufayo Minimart"/>
        <s v="Omolara Minimart"/>
        <s v="Ona_ara Minimart"/>
        <s v="Oreofe Minimart"/>
        <s v="P D Super Store"/>
        <s v="Peace Minimarts"/>
        <s v="Rafat Minimart"/>
        <s v="Rich Bon Minimart"/>
        <s v="Rodam Enterprises"/>
        <s v="S.t.p Enterprise"/>
        <s v="Sam B Minimarts"/>
        <s v="Samson Super Store"/>
        <s v="Santa Maria Minimarts"/>
        <s v="Sariki Minimart"/>
        <s v="Silver Destiny"/>
        <s v="Simeon Madam"/>
        <s v="Simple N sweet foods"/>
        <s v="Sis Glory"/>
        <s v="smine me Minimart"/>
        <s v="Solo Minimarts"/>
        <s v="success 234 ojota"/>
        <s v="Suncomm Minimarts"/>
        <s v="Sweet Gift Shop"/>
        <s v="Taisan Minimart"/>
        <s v="TASUDON MinimartS"/>
        <s v="Than-all Minimart"/>
        <s v="Tolchukwu Minimart"/>
        <s v="Udapaul Nig"/>
        <s v="Williams Minimarts"/>
        <s v="Winsolight"/>
        <s v="Zeehmamas Super Store"/>
      </sharedItems>
    </cacheField>
    <cacheField name="[Measures].[Distinct Count of Customer Name]" caption="Distinct Count of Customer Name" numFmtId="0" hierarchy="25" level="32767"/>
  </cacheFields>
  <cacheHierarchies count="32">
    <cacheHierarchy uniqueName="[Range].[0rderedAt]" caption="0rderedAt" attribute="1" time="1" defaultMemberUniqueName="[Range].[0rderedAt].[All]" allUniqueName="[Range].[0rderedAt].[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Day]" caption="Day" attribute="1" defaultMemberUniqueName="[Range].[Day].[All]" allUniqueName="[Range].[Day].[All]" dimensionUniqueName="[Range]" displayFolder="" count="0" memberValueDatatype="20" unbalanced="0"/>
    <cacheHierarchy uniqueName="[Range].[Months]" caption="Months" attribute="1" defaultMemberUniqueName="[Range].[Months].[All]" allUniqueName="[Range].[Months].[All]" dimensionUniqueName="[Range]" displayFolder="" count="0" memberValueDatatype="130" unbalanced="0"/>
    <cacheHierarchy uniqueName="[Range].[Order No.]" caption="Order No." attribute="1" defaultMemberUniqueName="[Range].[Order No.].[All]" allUniqueName="[Range].[Order No.].[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0"/>
      </fieldsUsage>
    </cacheHierarchy>
    <cacheHierarchy uniqueName="[Range].[Producer]" caption="Producer" attribute="1" defaultMemberUniqueName="[Range].[Producer].[All]" allUniqueName="[Range].[Producer].[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Group]" caption="Category Group" attribute="1" defaultMemberUniqueName="[Range].[Category Group].[All]" allUniqueName="[Range].[Category Group].[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Variant]" caption="Variant" attribute="1" defaultMemberUniqueName="[Range].[Variant].[All]" allUniqueName="[Range].[Varian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Unit Price]" caption="Unit Price" attribute="1" defaultMemberUniqueName="[Range].[Unit Price].[All]" allUniqueName="[Range].[Unit Pric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hippingStatus]" caption="shippingStatus" attribute="1" defaultMemberUniqueName="[Range].[shippingStatus].[All]" allUniqueName="[Range].[shippingStatus].[All]" dimensionUniqueName="[Range]" displayFolder="" count="0" memberValueDatatype="130" unbalanced="0"/>
    <cacheHierarchy uniqueName="[Range].[Delivery Agent]" caption="Delivery Agent" attribute="1" defaultMemberUniqueName="[Range].[Delivery Agent].[All]" allUniqueName="[Range].[Delivery Agent].[All]" dimensionUniqueName="[Range]" displayFolder="" count="0" memberValueDatatype="130" unbalanced="0"/>
    <cacheHierarchy uniqueName="[Range].[Delivery]" caption="Delivery" attribute="1" defaultMemberUniqueName="[Range].[Delivery].[All]" allUniqueName="[Range].[Deliver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Order Channel]" caption="Order Channel" attribute="1" defaultMemberUniqueName="[Range].[Order Channel].[All]" allUniqueName="[Range].[Order Channe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4"/>
        </ext>
      </extLst>
    </cacheHierarchy>
    <cacheHierarchy uniqueName="[Measures].[Distinct Count of Sales]" caption="Distinct Count of Sales" measure="1" displayFolder="" measureGroup="Range" count="0" hidden="1">
      <extLst>
        <ext xmlns:x15="http://schemas.microsoft.com/office/spreadsheetml/2010/11/main" uri="{B97F6D7D-B522-45F9-BDA1-12C45D357490}">
          <x15:cacheHierarchy aggregatedColumn="14"/>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2"/>
        </ext>
      </extLst>
    </cacheHierarchy>
    <cacheHierarchy uniqueName="[Measures].[Distinct Count of Quantity]" caption="Distinct Count of Quantity" measure="1" displayFolder="" measureGroup="Range" count="0" hidden="1">
      <extLst>
        <ext xmlns:x15="http://schemas.microsoft.com/office/spreadsheetml/2010/11/main" uri="{B97F6D7D-B522-45F9-BDA1-12C45D357490}">
          <x15:cacheHierarchy aggregatedColumn="12"/>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5"/>
        </ext>
      </extLst>
    </cacheHierarchy>
    <cacheHierarchy uniqueName="[Measures].[Distinct Count of Order No.]" caption="Distinct Count of Order No." measure="1" displayFolder="" measureGroup="Range"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8"/>
        </ext>
      </extLst>
    </cacheHierarchy>
    <cacheHierarchy uniqueName="[Measures].[Distinct Count of Product]" caption="Distinct Count of Product"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
  <r>
    <d v="2020-01-12T00:00:00"/>
    <n v="2020"/>
    <x v="0"/>
    <n v="12"/>
    <x v="0"/>
    <x v="0"/>
    <x v="0"/>
    <x v="0"/>
    <x v="0"/>
    <x v="0"/>
    <x v="0"/>
    <x v="0"/>
    <n v="2"/>
    <n v="7000"/>
    <n v="14000"/>
    <s v="delivered"/>
    <s v="Maryjane Joel"/>
    <d v="2020-02-12T00:00:00"/>
    <s v="General Trade"/>
    <x v="0"/>
  </r>
  <r>
    <d v="2020-01-12T00:00:00"/>
    <n v="2020"/>
    <x v="0"/>
    <n v="12"/>
    <x v="0"/>
    <x v="0"/>
    <x v="0"/>
    <x v="0"/>
    <x v="0"/>
    <x v="0"/>
    <x v="0"/>
    <x v="1"/>
    <n v="1"/>
    <n v="7000"/>
    <n v="7000"/>
    <s v="delivered"/>
    <s v="Maryjane Joel"/>
    <d v="2020-02-12T00:00:00"/>
    <s v="General Trade"/>
    <x v="0"/>
  </r>
  <r>
    <d v="2020-01-12T00:00:00"/>
    <n v="2020"/>
    <x v="0"/>
    <n v="12"/>
    <x v="0"/>
    <x v="0"/>
    <x v="0"/>
    <x v="0"/>
    <x v="0"/>
    <x v="0"/>
    <x v="0"/>
    <x v="2"/>
    <n v="1"/>
    <n v="7000"/>
    <n v="7000"/>
    <s v="delivered"/>
    <s v="Maryjane Joel"/>
    <d v="2020-02-12T00:00:00"/>
    <s v="General Trade"/>
    <x v="0"/>
  </r>
  <r>
    <d v="2020-01-12T00:00:00"/>
    <n v="2020"/>
    <x v="0"/>
    <n v="12"/>
    <x v="0"/>
    <x v="1"/>
    <x v="1"/>
    <x v="0"/>
    <x v="0"/>
    <x v="0"/>
    <x v="0"/>
    <x v="0"/>
    <n v="1"/>
    <n v="7000"/>
    <n v="7000"/>
    <s v="delivered"/>
    <s v="Ralia Okwuchukwu"/>
    <d v="2020-02-12T00:00:00"/>
    <s v="General Trade"/>
    <x v="1"/>
  </r>
  <r>
    <d v="2020-01-12T00:00:00"/>
    <n v="2020"/>
    <x v="0"/>
    <n v="12"/>
    <x v="0"/>
    <x v="1"/>
    <x v="1"/>
    <x v="0"/>
    <x v="0"/>
    <x v="0"/>
    <x v="0"/>
    <x v="2"/>
    <n v="1"/>
    <n v="7000"/>
    <n v="7000"/>
    <s v="delivered"/>
    <s v="Ralia Okwuchukwu"/>
    <d v="2020-02-12T00:00:00"/>
    <s v="General Trade"/>
    <x v="1"/>
  </r>
  <r>
    <d v="2020-01-12T00:00:00"/>
    <n v="2020"/>
    <x v="0"/>
    <n v="12"/>
    <x v="0"/>
    <x v="2"/>
    <x v="2"/>
    <x v="1"/>
    <x v="1"/>
    <x v="0"/>
    <x v="1"/>
    <x v="3"/>
    <n v="1"/>
    <n v="16800"/>
    <n v="16800"/>
    <s v="delivered"/>
    <s v="Adaeze gabriel"/>
    <d v="2020-02-12T00:00:00"/>
    <s v="General Trade"/>
    <x v="0"/>
  </r>
  <r>
    <d v="2020-01-12T00:00:00"/>
    <n v="2020"/>
    <x v="0"/>
    <n v="12"/>
    <x v="0"/>
    <x v="2"/>
    <x v="2"/>
    <x v="2"/>
    <x v="2"/>
    <x v="0"/>
    <x v="1"/>
    <x v="4"/>
    <n v="1"/>
    <n v="24350"/>
    <n v="24350"/>
    <s v="delivered"/>
    <s v="Adaeze gabriel"/>
    <d v="2020-02-12T00:00:00"/>
    <s v="General Trade"/>
    <x v="0"/>
  </r>
  <r>
    <d v="2020-02-12T00:00:00"/>
    <n v="2020"/>
    <x v="1"/>
    <n v="12"/>
    <x v="1"/>
    <x v="3"/>
    <x v="3"/>
    <x v="0"/>
    <x v="3"/>
    <x v="0"/>
    <x v="0"/>
    <x v="5"/>
    <n v="1"/>
    <n v="12200"/>
    <n v="12200"/>
    <s v="delivered"/>
    <s v="Ralia Okwuchukwu"/>
    <d v="2020-03-12T00:00:00"/>
    <s v="General Trade"/>
    <x v="1"/>
  </r>
  <r>
    <d v="2020-02-12T00:00:00"/>
    <n v="2020"/>
    <x v="1"/>
    <n v="12"/>
    <x v="1"/>
    <x v="3"/>
    <x v="3"/>
    <x v="0"/>
    <x v="0"/>
    <x v="0"/>
    <x v="0"/>
    <x v="2"/>
    <n v="1"/>
    <n v="7000"/>
    <n v="7000"/>
    <s v="delivered"/>
    <s v="Ralia Okwuchukwu"/>
    <d v="2020-03-12T00:00:00"/>
    <s v="General Trade"/>
    <x v="1"/>
  </r>
  <r>
    <d v="2020-02-12T00:00:00"/>
    <n v="2020"/>
    <x v="1"/>
    <n v="12"/>
    <x v="1"/>
    <x v="4"/>
    <x v="0"/>
    <x v="0"/>
    <x v="0"/>
    <x v="0"/>
    <x v="0"/>
    <x v="0"/>
    <n v="5"/>
    <n v="7000"/>
    <n v="35000"/>
    <s v="delivered"/>
    <s v="Mary paul"/>
    <d v="2020-03-12T00:00:00"/>
    <s v="General Trade"/>
    <x v="0"/>
  </r>
  <r>
    <d v="2020-02-12T00:00:00"/>
    <n v="2020"/>
    <x v="1"/>
    <n v="12"/>
    <x v="1"/>
    <x v="4"/>
    <x v="0"/>
    <x v="0"/>
    <x v="0"/>
    <x v="0"/>
    <x v="0"/>
    <x v="1"/>
    <n v="5"/>
    <n v="7000"/>
    <n v="35000"/>
    <s v="delivered"/>
    <s v="Mary paul"/>
    <d v="2020-03-12T00:00:00"/>
    <s v="General Trade"/>
    <x v="0"/>
  </r>
  <r>
    <d v="2020-02-12T00:00:00"/>
    <n v="2020"/>
    <x v="1"/>
    <n v="12"/>
    <x v="1"/>
    <x v="4"/>
    <x v="0"/>
    <x v="0"/>
    <x v="0"/>
    <x v="0"/>
    <x v="0"/>
    <x v="2"/>
    <n v="5"/>
    <n v="7000"/>
    <n v="35000"/>
    <s v="delivered"/>
    <s v="Mary paul"/>
    <d v="2020-03-12T00:00:00"/>
    <s v="General Trade"/>
    <x v="0"/>
  </r>
  <r>
    <d v="2020-02-12T00:00:00"/>
    <n v="2020"/>
    <x v="1"/>
    <n v="12"/>
    <x v="1"/>
    <x v="5"/>
    <x v="0"/>
    <x v="0"/>
    <x v="0"/>
    <x v="0"/>
    <x v="0"/>
    <x v="0"/>
    <n v="5"/>
    <n v="7000"/>
    <n v="35000"/>
    <s v="delivered"/>
    <s v="Mary paul"/>
    <d v="2020-03-12T00:00:00"/>
    <s v="General Trade"/>
    <x v="0"/>
  </r>
  <r>
    <d v="2020-01-12T00:00:00"/>
    <n v="2020"/>
    <x v="0"/>
    <n v="12"/>
    <x v="0"/>
    <x v="6"/>
    <x v="4"/>
    <x v="1"/>
    <x v="1"/>
    <x v="0"/>
    <x v="1"/>
    <x v="3"/>
    <n v="1"/>
    <n v="16800"/>
    <n v="16800"/>
    <s v="delivered"/>
    <s v="Adaeze gabriel"/>
    <d v="2020-03-12T00:00:00"/>
    <s v="Modern Trade"/>
    <x v="0"/>
  </r>
  <r>
    <d v="2020-03-12T00:00:00"/>
    <n v="2020"/>
    <x v="2"/>
    <n v="12"/>
    <x v="2"/>
    <x v="7"/>
    <x v="5"/>
    <x v="0"/>
    <x v="0"/>
    <x v="0"/>
    <x v="0"/>
    <x v="2"/>
    <n v="1"/>
    <n v="7480"/>
    <n v="7480"/>
    <s v="delivered"/>
    <s v="Mary paul"/>
    <d v="2020-04-12T00:00:00"/>
    <s v="General Trade"/>
    <x v="1"/>
  </r>
  <r>
    <d v="2020-04-12T00:00:00"/>
    <n v="2020"/>
    <x v="3"/>
    <n v="12"/>
    <x v="3"/>
    <x v="8"/>
    <x v="6"/>
    <x v="1"/>
    <x v="1"/>
    <x v="0"/>
    <x v="1"/>
    <x v="3"/>
    <n v="1"/>
    <n v="16800"/>
    <n v="16800"/>
    <s v="delivered"/>
    <s v="Esther Victor"/>
    <d v="2020-05-12T00:00:00"/>
    <s v="General Trade"/>
    <x v="0"/>
  </r>
  <r>
    <d v="2020-04-12T00:00:00"/>
    <n v="2020"/>
    <x v="3"/>
    <n v="12"/>
    <x v="3"/>
    <x v="9"/>
    <x v="7"/>
    <x v="0"/>
    <x v="3"/>
    <x v="0"/>
    <x v="0"/>
    <x v="5"/>
    <n v="1"/>
    <n v="13100"/>
    <n v="13100"/>
    <s v="delivered"/>
    <s v="Shainaan Buchi"/>
    <d v="2020-05-12T00:00:00"/>
    <s v="General Trade"/>
    <x v="2"/>
  </r>
  <r>
    <d v="2020-04-12T00:00:00"/>
    <n v="2020"/>
    <x v="3"/>
    <n v="12"/>
    <x v="3"/>
    <x v="10"/>
    <x v="8"/>
    <x v="2"/>
    <x v="2"/>
    <x v="0"/>
    <x v="1"/>
    <x v="6"/>
    <n v="1"/>
    <n v="24350"/>
    <n v="24350"/>
    <s v="delivered"/>
    <s v="Mary paul"/>
    <d v="2020-06-12T00:00:00"/>
    <s v="General Trade"/>
    <x v="2"/>
  </r>
  <r>
    <d v="2020-04-12T00:00:00"/>
    <n v="2020"/>
    <x v="3"/>
    <n v="12"/>
    <x v="3"/>
    <x v="10"/>
    <x v="8"/>
    <x v="0"/>
    <x v="3"/>
    <x v="0"/>
    <x v="0"/>
    <x v="5"/>
    <n v="2"/>
    <n v="13100"/>
    <n v="26200"/>
    <s v="delivered"/>
    <s v="Mary paul"/>
    <d v="2020-06-12T00:00:00"/>
    <s v="General Trade"/>
    <x v="2"/>
  </r>
  <r>
    <d v="2020-04-12T00:00:00"/>
    <n v="2020"/>
    <x v="3"/>
    <n v="12"/>
    <x v="3"/>
    <x v="10"/>
    <x v="8"/>
    <x v="0"/>
    <x v="4"/>
    <x v="0"/>
    <x v="0"/>
    <x v="7"/>
    <n v="5"/>
    <n v="4700"/>
    <n v="23500"/>
    <s v="delivered"/>
    <s v="Mary paul"/>
    <d v="2020-06-12T00:00:00"/>
    <s v="General Trade"/>
    <x v="2"/>
  </r>
  <r>
    <d v="2020-04-12T00:00:00"/>
    <n v="2020"/>
    <x v="3"/>
    <n v="12"/>
    <x v="3"/>
    <x v="10"/>
    <x v="8"/>
    <x v="0"/>
    <x v="0"/>
    <x v="0"/>
    <x v="0"/>
    <x v="2"/>
    <n v="3"/>
    <n v="7480"/>
    <n v="22440"/>
    <s v="delivered"/>
    <s v="Mary paul"/>
    <d v="2020-06-12T00:00:00"/>
    <s v="General Trade"/>
    <x v="2"/>
  </r>
  <r>
    <d v="2020-04-12T00:00:00"/>
    <n v="2020"/>
    <x v="3"/>
    <n v="12"/>
    <x v="3"/>
    <x v="10"/>
    <x v="8"/>
    <x v="0"/>
    <x v="0"/>
    <x v="0"/>
    <x v="0"/>
    <x v="0"/>
    <n v="3"/>
    <n v="7480"/>
    <n v="22440"/>
    <s v="delivered"/>
    <s v="Mary paul"/>
    <d v="2020-06-12T00:00:00"/>
    <s v="General Trade"/>
    <x v="2"/>
  </r>
  <r>
    <d v="2020-04-12T00:00:00"/>
    <n v="2020"/>
    <x v="3"/>
    <n v="12"/>
    <x v="3"/>
    <x v="10"/>
    <x v="8"/>
    <x v="0"/>
    <x v="0"/>
    <x v="0"/>
    <x v="0"/>
    <x v="1"/>
    <n v="2"/>
    <n v="7480"/>
    <n v="14960"/>
    <s v="delivered"/>
    <s v="Mary paul"/>
    <d v="2020-06-12T00:00:00"/>
    <s v="General Trade"/>
    <x v="2"/>
  </r>
  <r>
    <d v="2020-04-12T00:00:00"/>
    <n v="2020"/>
    <x v="3"/>
    <n v="12"/>
    <x v="3"/>
    <x v="10"/>
    <x v="8"/>
    <x v="1"/>
    <x v="1"/>
    <x v="0"/>
    <x v="1"/>
    <x v="3"/>
    <n v="1"/>
    <n v="16800"/>
    <n v="16800"/>
    <s v="delivered"/>
    <s v="Mary paul"/>
    <d v="2020-06-12T00:00:00"/>
    <s v="General Trade"/>
    <x v="2"/>
  </r>
  <r>
    <d v="2020-05-12T00:00:00"/>
    <n v="2020"/>
    <x v="4"/>
    <n v="12"/>
    <x v="4"/>
    <x v="11"/>
    <x v="9"/>
    <x v="1"/>
    <x v="1"/>
    <x v="0"/>
    <x v="1"/>
    <x v="3"/>
    <n v="1"/>
    <n v="16800"/>
    <n v="16800"/>
    <s v="delivered"/>
    <s v="sharon Walter"/>
    <d v="2020-08-12T00:00:00"/>
    <s v="General Trade"/>
    <x v="2"/>
  </r>
  <r>
    <d v="2020-05-12T00:00:00"/>
    <n v="2020"/>
    <x v="4"/>
    <n v="12"/>
    <x v="4"/>
    <x v="12"/>
    <x v="9"/>
    <x v="1"/>
    <x v="1"/>
    <x v="0"/>
    <x v="1"/>
    <x v="3"/>
    <n v="1"/>
    <n v="16800"/>
    <n v="16800"/>
    <s v="delivered"/>
    <s v="sharon Walter"/>
    <d v="2020-08-12T00:00:00"/>
    <s v="General Trade"/>
    <x v="2"/>
  </r>
  <r>
    <d v="2020-07-12T00:00:00"/>
    <n v="2020"/>
    <x v="5"/>
    <n v="12"/>
    <x v="5"/>
    <x v="13"/>
    <x v="10"/>
    <x v="0"/>
    <x v="4"/>
    <x v="0"/>
    <x v="0"/>
    <x v="7"/>
    <n v="1"/>
    <n v="4700"/>
    <n v="4700"/>
    <s v="delivered"/>
    <s v="Nwando Godwin"/>
    <d v="2020-08-12T00:00:00"/>
    <s v="General Trade"/>
    <x v="2"/>
  </r>
  <r>
    <d v="2020-07-12T00:00:00"/>
    <n v="2020"/>
    <x v="5"/>
    <n v="12"/>
    <x v="5"/>
    <x v="14"/>
    <x v="11"/>
    <x v="0"/>
    <x v="4"/>
    <x v="0"/>
    <x v="0"/>
    <x v="8"/>
    <n v="1"/>
    <n v="4700"/>
    <n v="4700"/>
    <s v="delivered"/>
    <s v="Stephen Progress"/>
    <d v="2020-08-12T00:00:00"/>
    <s v="General Trade"/>
    <x v="1"/>
  </r>
  <r>
    <d v="2020-07-12T00:00:00"/>
    <n v="2020"/>
    <x v="5"/>
    <n v="12"/>
    <x v="5"/>
    <x v="14"/>
    <x v="11"/>
    <x v="0"/>
    <x v="4"/>
    <x v="0"/>
    <x v="0"/>
    <x v="7"/>
    <n v="1"/>
    <n v="4700"/>
    <n v="4700"/>
    <s v="delivered"/>
    <s v="Stephen Progress"/>
    <d v="2020-08-12T00:00:00"/>
    <s v="General Trade"/>
    <x v="1"/>
  </r>
  <r>
    <d v="2020-09-12T00:00:00"/>
    <n v="2020"/>
    <x v="6"/>
    <n v="12"/>
    <x v="6"/>
    <x v="15"/>
    <x v="12"/>
    <x v="1"/>
    <x v="1"/>
    <x v="0"/>
    <x v="1"/>
    <x v="3"/>
    <n v="2"/>
    <n v="16800"/>
    <n v="33600"/>
    <s v="delivered"/>
    <s v="Ayomide Charles"/>
    <d v="2020-10-12T00:00:00"/>
    <s v="Wholesale"/>
    <x v="1"/>
  </r>
  <r>
    <d v="2020-09-12T00:00:00"/>
    <n v="2020"/>
    <x v="6"/>
    <n v="12"/>
    <x v="6"/>
    <x v="16"/>
    <x v="11"/>
    <x v="0"/>
    <x v="4"/>
    <x v="0"/>
    <x v="0"/>
    <x v="8"/>
    <n v="1"/>
    <n v="4700"/>
    <n v="4700"/>
    <s v="delivered"/>
    <s v="Tife Chibunnam"/>
    <d v="2020-10-12T00:00:00"/>
    <s v="General Trade"/>
    <x v="1"/>
  </r>
  <r>
    <d v="2020-10-12T00:00:00"/>
    <n v="2020"/>
    <x v="7"/>
    <n v="12"/>
    <x v="7"/>
    <x v="17"/>
    <x v="13"/>
    <x v="0"/>
    <x v="3"/>
    <x v="0"/>
    <x v="0"/>
    <x v="5"/>
    <n v="1"/>
    <n v="13100"/>
    <n v="13100"/>
    <s v="delivered"/>
    <s v="Christy Umar"/>
    <d v="2020-11-12T00:00:00"/>
    <s v="General Trade"/>
    <x v="1"/>
  </r>
  <r>
    <d v="2020-10-12T00:00:00"/>
    <n v="2020"/>
    <x v="7"/>
    <n v="12"/>
    <x v="7"/>
    <x v="17"/>
    <x v="13"/>
    <x v="0"/>
    <x v="3"/>
    <x v="0"/>
    <x v="0"/>
    <x v="9"/>
    <n v="1"/>
    <n v="13100"/>
    <n v="13100"/>
    <s v="delivered"/>
    <s v="Christy Umar"/>
    <d v="2020-11-12T00:00:00"/>
    <s v="General Trade"/>
    <x v="1"/>
  </r>
  <r>
    <d v="2020-10-12T00:00:00"/>
    <n v="2020"/>
    <x v="7"/>
    <n v="12"/>
    <x v="7"/>
    <x v="17"/>
    <x v="13"/>
    <x v="0"/>
    <x v="0"/>
    <x v="0"/>
    <x v="0"/>
    <x v="2"/>
    <n v="1"/>
    <n v="7480"/>
    <n v="7480"/>
    <s v="delivered"/>
    <s v="Christy Umar"/>
    <d v="2020-11-12T00:00:00"/>
    <s v="General Trade"/>
    <x v="1"/>
  </r>
  <r>
    <d v="2020-10-12T00:00:00"/>
    <n v="2020"/>
    <x v="7"/>
    <n v="12"/>
    <x v="7"/>
    <x v="17"/>
    <x v="13"/>
    <x v="1"/>
    <x v="1"/>
    <x v="0"/>
    <x v="1"/>
    <x v="3"/>
    <n v="1"/>
    <n v="16800"/>
    <n v="16800"/>
    <s v="delivered"/>
    <s v="Christy Umar"/>
    <d v="2020-11-12T00:00:00"/>
    <s v="General Trade"/>
    <x v="1"/>
  </r>
  <r>
    <d v="2020-10-12T00:00:00"/>
    <n v="2020"/>
    <x v="7"/>
    <n v="12"/>
    <x v="7"/>
    <x v="18"/>
    <x v="14"/>
    <x v="1"/>
    <x v="1"/>
    <x v="0"/>
    <x v="1"/>
    <x v="3"/>
    <n v="2"/>
    <n v="16800"/>
    <n v="33600"/>
    <s v="delivered"/>
    <s v="milcah Smart"/>
    <d v="2020-11-12T00:00:00"/>
    <s v="General Trade"/>
    <x v="0"/>
  </r>
  <r>
    <d v="2020-11-12T00:00:00"/>
    <n v="2020"/>
    <x v="8"/>
    <n v="12"/>
    <x v="8"/>
    <x v="19"/>
    <x v="15"/>
    <x v="1"/>
    <x v="1"/>
    <x v="0"/>
    <x v="1"/>
    <x v="3"/>
    <n v="1"/>
    <n v="16800"/>
    <n v="16800"/>
    <s v="delivered"/>
    <s v="Martins oyekunle"/>
    <d v="2020-12-12T00:00:00"/>
    <s v="Wholesale"/>
    <x v="1"/>
  </r>
  <r>
    <d v="2020-11-12T00:00:00"/>
    <n v="2020"/>
    <x v="8"/>
    <n v="12"/>
    <x v="8"/>
    <x v="20"/>
    <x v="16"/>
    <x v="2"/>
    <x v="5"/>
    <x v="0"/>
    <x v="1"/>
    <x v="10"/>
    <n v="0.5"/>
    <n v="35000"/>
    <n v="17500"/>
    <s v="delivered"/>
    <s v="Dolly yanju"/>
    <d v="2020-12-12T00:00:00"/>
    <s v="General Trade"/>
    <x v="1"/>
  </r>
  <r>
    <d v="2020-02-12T00:00:00"/>
    <n v="2020"/>
    <x v="1"/>
    <n v="12"/>
    <x v="1"/>
    <x v="21"/>
    <x v="17"/>
    <x v="3"/>
    <x v="6"/>
    <x v="1"/>
    <x v="2"/>
    <x v="11"/>
    <n v="1"/>
    <n v="5200"/>
    <n v="5200"/>
    <s v="delivered"/>
    <s v="Rayo Enoch"/>
    <d v="2020-03-12T00:00:00"/>
    <s v="Wholesale"/>
    <x v="2"/>
  </r>
  <r>
    <d v="2020-02-12T00:00:00"/>
    <n v="2020"/>
    <x v="1"/>
    <n v="12"/>
    <x v="1"/>
    <x v="21"/>
    <x v="17"/>
    <x v="3"/>
    <x v="6"/>
    <x v="1"/>
    <x v="2"/>
    <x v="12"/>
    <n v="1"/>
    <n v="5200"/>
    <n v="5200"/>
    <s v="delivered"/>
    <s v="Rayo Enoch"/>
    <d v="2020-03-12T00:00:00"/>
    <s v="Wholesale"/>
    <x v="2"/>
  </r>
  <r>
    <d v="2020-02-12T00:00:00"/>
    <n v="2020"/>
    <x v="1"/>
    <n v="12"/>
    <x v="1"/>
    <x v="21"/>
    <x v="17"/>
    <x v="3"/>
    <x v="6"/>
    <x v="1"/>
    <x v="2"/>
    <x v="13"/>
    <n v="1"/>
    <n v="4200"/>
    <n v="4200"/>
    <s v="delivered"/>
    <s v="Rayo Enoch"/>
    <d v="2020-03-12T00:00:00"/>
    <s v="Wholesale"/>
    <x v="2"/>
  </r>
  <r>
    <d v="2020-02-12T00:00:00"/>
    <n v="2020"/>
    <x v="1"/>
    <n v="12"/>
    <x v="1"/>
    <x v="3"/>
    <x v="3"/>
    <x v="4"/>
    <x v="7"/>
    <x v="1"/>
    <x v="2"/>
    <x v="14"/>
    <n v="1"/>
    <n v="5700"/>
    <n v="5700"/>
    <s v="delivered"/>
    <s v="Ralia Okwuchukwu"/>
    <d v="2020-03-12T00:00:00"/>
    <s v="General Trade"/>
    <x v="1"/>
  </r>
  <r>
    <d v="2020-02-12T00:00:00"/>
    <n v="2020"/>
    <x v="1"/>
    <n v="12"/>
    <x v="1"/>
    <x v="22"/>
    <x v="18"/>
    <x v="4"/>
    <x v="7"/>
    <x v="1"/>
    <x v="2"/>
    <x v="14"/>
    <n v="1"/>
    <n v="5700"/>
    <n v="5700"/>
    <s v="delivered"/>
    <s v="Alma Aliyu"/>
    <d v="2020-04-12T00:00:00"/>
    <s v="General Trade"/>
    <x v="0"/>
  </r>
  <r>
    <d v="2020-02-12T00:00:00"/>
    <n v="2020"/>
    <x v="1"/>
    <n v="12"/>
    <x v="1"/>
    <x v="22"/>
    <x v="18"/>
    <x v="3"/>
    <x v="6"/>
    <x v="1"/>
    <x v="2"/>
    <x v="13"/>
    <n v="1"/>
    <n v="4200"/>
    <n v="4200"/>
    <s v="delivered"/>
    <s v="Alma Aliyu"/>
    <d v="2020-04-12T00:00:00"/>
    <s v="General Trade"/>
    <x v="0"/>
  </r>
  <r>
    <d v="2020-04-12T00:00:00"/>
    <n v="2020"/>
    <x v="3"/>
    <n v="12"/>
    <x v="3"/>
    <x v="23"/>
    <x v="19"/>
    <x v="3"/>
    <x v="6"/>
    <x v="1"/>
    <x v="2"/>
    <x v="13"/>
    <n v="1"/>
    <n v="4200"/>
    <n v="4200"/>
    <s v="delivered"/>
    <s v="Shainaan Buchi"/>
    <d v="2020-05-12T00:00:00"/>
    <s v="General Trade"/>
    <x v="1"/>
  </r>
  <r>
    <d v="2020-04-12T00:00:00"/>
    <n v="2020"/>
    <x v="3"/>
    <n v="12"/>
    <x v="3"/>
    <x v="24"/>
    <x v="20"/>
    <x v="3"/>
    <x v="6"/>
    <x v="1"/>
    <x v="2"/>
    <x v="13"/>
    <n v="2"/>
    <n v="4200"/>
    <n v="8400"/>
    <s v="delivered"/>
    <s v="Jessica Williams"/>
    <d v="2020-05-12T00:00:00"/>
    <s v="General Trade"/>
    <x v="0"/>
  </r>
  <r>
    <d v="2020-04-12T00:00:00"/>
    <n v="2020"/>
    <x v="3"/>
    <n v="12"/>
    <x v="3"/>
    <x v="25"/>
    <x v="21"/>
    <x v="3"/>
    <x v="6"/>
    <x v="1"/>
    <x v="2"/>
    <x v="13"/>
    <n v="1"/>
    <n v="4200"/>
    <n v="4200"/>
    <s v="delivered"/>
    <s v="Enny Muktar"/>
    <d v="2020-05-12T00:00:00"/>
    <s v="Wholesale"/>
    <x v="1"/>
  </r>
  <r>
    <d v="2020-04-12T00:00:00"/>
    <n v="2020"/>
    <x v="3"/>
    <n v="12"/>
    <x v="3"/>
    <x v="10"/>
    <x v="8"/>
    <x v="3"/>
    <x v="6"/>
    <x v="1"/>
    <x v="2"/>
    <x v="15"/>
    <n v="1"/>
    <n v="5200"/>
    <n v="5200"/>
    <s v="delivered"/>
    <s v="Mary paul"/>
    <d v="2020-06-12T00:00:00"/>
    <s v="General Trade"/>
    <x v="1"/>
  </r>
  <r>
    <d v="2020-04-12T00:00:00"/>
    <n v="2020"/>
    <x v="3"/>
    <n v="12"/>
    <x v="3"/>
    <x v="10"/>
    <x v="8"/>
    <x v="3"/>
    <x v="6"/>
    <x v="1"/>
    <x v="2"/>
    <x v="11"/>
    <n v="2"/>
    <n v="5200"/>
    <n v="10400"/>
    <s v="delivered"/>
    <s v="Mary paul"/>
    <d v="2020-06-12T00:00:00"/>
    <s v="General Trade"/>
    <x v="1"/>
  </r>
  <r>
    <d v="2020-04-12T00:00:00"/>
    <n v="2020"/>
    <x v="3"/>
    <n v="12"/>
    <x v="3"/>
    <x v="10"/>
    <x v="8"/>
    <x v="5"/>
    <x v="8"/>
    <x v="1"/>
    <x v="3"/>
    <x v="16"/>
    <n v="2"/>
    <n v="12300"/>
    <n v="24600"/>
    <s v="delivered"/>
    <s v="Mary paul"/>
    <d v="2020-06-12T00:00:00"/>
    <s v="General Trade"/>
    <x v="1"/>
  </r>
  <r>
    <d v="2020-06-12T00:00:00"/>
    <n v="2020"/>
    <x v="9"/>
    <n v="12"/>
    <x v="9"/>
    <x v="26"/>
    <x v="22"/>
    <x v="3"/>
    <x v="6"/>
    <x v="1"/>
    <x v="2"/>
    <x v="15"/>
    <n v="1"/>
    <n v="5200"/>
    <n v="5200"/>
    <s v="delivered"/>
    <s v="Ralia Okwuchukwu"/>
    <d v="2020-07-12T00:00:00"/>
    <s v="Wholesale"/>
    <x v="0"/>
  </r>
  <r>
    <d v="2020-07-12T00:00:00"/>
    <n v="2020"/>
    <x v="5"/>
    <n v="12"/>
    <x v="5"/>
    <x v="27"/>
    <x v="23"/>
    <x v="3"/>
    <x v="6"/>
    <x v="1"/>
    <x v="2"/>
    <x v="13"/>
    <n v="1"/>
    <n v="4200"/>
    <n v="4200"/>
    <s v="delivered"/>
    <s v="chinelo Isaac"/>
    <d v="2020-08-12T00:00:00"/>
    <s v="General Trade"/>
    <x v="1"/>
  </r>
  <r>
    <d v="2020-04-12T00:00:00"/>
    <n v="2020"/>
    <x v="3"/>
    <n v="12"/>
    <x v="3"/>
    <x v="28"/>
    <x v="24"/>
    <x v="3"/>
    <x v="6"/>
    <x v="1"/>
    <x v="2"/>
    <x v="13"/>
    <n v="1"/>
    <n v="4200"/>
    <n v="4200"/>
    <s v="delivered"/>
    <s v="mercy Peter"/>
    <d v="2020-08-12T00:00:00"/>
    <s v="General Trade"/>
    <x v="1"/>
  </r>
  <r>
    <d v="2020-04-12T00:00:00"/>
    <n v="2020"/>
    <x v="3"/>
    <n v="12"/>
    <x v="3"/>
    <x v="28"/>
    <x v="24"/>
    <x v="3"/>
    <x v="6"/>
    <x v="1"/>
    <x v="2"/>
    <x v="17"/>
    <n v="1"/>
    <n v="6850"/>
    <n v="6850"/>
    <s v="delivered"/>
    <s v="mercy Peter"/>
    <d v="2020-08-12T00:00:00"/>
    <s v="General Trade"/>
    <x v="1"/>
  </r>
  <r>
    <d v="2020-08-12T00:00:00"/>
    <n v="2020"/>
    <x v="10"/>
    <n v="12"/>
    <x v="10"/>
    <x v="29"/>
    <x v="25"/>
    <x v="3"/>
    <x v="6"/>
    <x v="1"/>
    <x v="2"/>
    <x v="13"/>
    <n v="3"/>
    <n v="4200"/>
    <n v="12600"/>
    <s v="delivered"/>
    <s v="Nwando Godwin"/>
    <d v="2020-09-12T00:00:00"/>
    <s v="Wholesale"/>
    <x v="0"/>
  </r>
  <r>
    <d v="2020-12-12T00:00:00"/>
    <n v="2020"/>
    <x v="11"/>
    <n v="12"/>
    <x v="11"/>
    <x v="30"/>
    <x v="26"/>
    <x v="3"/>
    <x v="6"/>
    <x v="1"/>
    <x v="2"/>
    <x v="13"/>
    <n v="2"/>
    <n v="4200"/>
    <n v="8400"/>
    <s v="delivered"/>
    <s v="Imegwa Philomena"/>
    <s v="12/14/2020"/>
    <s v="Wholesale"/>
    <x v="1"/>
  </r>
  <r>
    <d v="2020-01-12T00:00:00"/>
    <n v="2020"/>
    <x v="0"/>
    <n v="12"/>
    <x v="0"/>
    <x v="31"/>
    <x v="27"/>
    <x v="2"/>
    <x v="9"/>
    <x v="2"/>
    <x v="4"/>
    <x v="18"/>
    <n v="1"/>
    <n v="11200"/>
    <n v="11200"/>
    <s v="delivered"/>
    <s v="Bernice Segs"/>
    <d v="2020-02-12T00:00:00"/>
    <s v="General Trade"/>
    <x v="1"/>
  </r>
  <r>
    <d v="2020-01-12T00:00:00"/>
    <n v="2020"/>
    <x v="0"/>
    <n v="12"/>
    <x v="0"/>
    <x v="32"/>
    <x v="0"/>
    <x v="2"/>
    <x v="9"/>
    <x v="2"/>
    <x v="4"/>
    <x v="19"/>
    <n v="15"/>
    <n v="9120"/>
    <n v="136800"/>
    <s v="delivered"/>
    <s v="Maryjane Joel"/>
    <d v="2020-02-12T00:00:00"/>
    <s v="General Trade"/>
    <x v="0"/>
  </r>
  <r>
    <d v="2020-01-12T00:00:00"/>
    <n v="2020"/>
    <x v="0"/>
    <n v="12"/>
    <x v="0"/>
    <x v="0"/>
    <x v="0"/>
    <x v="2"/>
    <x v="10"/>
    <x v="2"/>
    <x v="5"/>
    <x v="20"/>
    <n v="3"/>
    <n v="7450"/>
    <n v="22350"/>
    <s v="delivered"/>
    <s v="Maryjane Joel"/>
    <d v="2020-02-12T00:00:00"/>
    <s v="General Trade"/>
    <x v="0"/>
  </r>
  <r>
    <d v="2020-01-12T00:00:00"/>
    <n v="2020"/>
    <x v="0"/>
    <n v="12"/>
    <x v="0"/>
    <x v="0"/>
    <x v="0"/>
    <x v="2"/>
    <x v="9"/>
    <x v="2"/>
    <x v="4"/>
    <x v="18"/>
    <n v="2"/>
    <n v="11200"/>
    <n v="22400"/>
    <s v="delivered"/>
    <s v="Maryjane Joel"/>
    <d v="2020-02-12T00:00:00"/>
    <s v="General Trade"/>
    <x v="0"/>
  </r>
  <r>
    <d v="2020-01-12T00:00:00"/>
    <n v="2020"/>
    <x v="0"/>
    <n v="12"/>
    <x v="0"/>
    <x v="33"/>
    <x v="28"/>
    <x v="2"/>
    <x v="9"/>
    <x v="2"/>
    <x v="4"/>
    <x v="19"/>
    <n v="5"/>
    <n v="9120"/>
    <n v="45600"/>
    <s v="delivered"/>
    <s v="Queen Alex"/>
    <d v="2020-02-12T00:00:00"/>
    <s v="General Trade"/>
    <x v="0"/>
  </r>
  <r>
    <d v="2020-01-12T00:00:00"/>
    <n v="2020"/>
    <x v="0"/>
    <n v="12"/>
    <x v="0"/>
    <x v="34"/>
    <x v="29"/>
    <x v="6"/>
    <x v="11"/>
    <x v="2"/>
    <x v="6"/>
    <x v="21"/>
    <n v="1"/>
    <n v="7800"/>
    <n v="7800"/>
    <s v="delivered"/>
    <s v="Ralia Okwuchukwu"/>
    <d v="2020-02-12T00:00:00"/>
    <s v="General Trade"/>
    <x v="1"/>
  </r>
  <r>
    <d v="2020-01-12T00:00:00"/>
    <n v="2020"/>
    <x v="0"/>
    <n v="12"/>
    <x v="0"/>
    <x v="34"/>
    <x v="29"/>
    <x v="2"/>
    <x v="9"/>
    <x v="2"/>
    <x v="4"/>
    <x v="19"/>
    <n v="1"/>
    <n v="9120"/>
    <n v="9120"/>
    <s v="delivered"/>
    <s v="Ralia Okwuchukwu"/>
    <d v="2020-02-12T00:00:00"/>
    <s v="General Trade"/>
    <x v="1"/>
  </r>
  <r>
    <d v="2020-01-12T00:00:00"/>
    <n v="2020"/>
    <x v="0"/>
    <n v="12"/>
    <x v="0"/>
    <x v="34"/>
    <x v="29"/>
    <x v="7"/>
    <x v="12"/>
    <x v="2"/>
    <x v="7"/>
    <x v="22"/>
    <n v="1"/>
    <n v="3000"/>
    <n v="3000"/>
    <s v="delivered"/>
    <s v="Ralia Okwuchukwu"/>
    <d v="2020-02-12T00:00:00"/>
    <s v="General Trade"/>
    <x v="1"/>
  </r>
  <r>
    <d v="2020-01-12T00:00:00"/>
    <n v="2020"/>
    <x v="0"/>
    <n v="12"/>
    <x v="0"/>
    <x v="34"/>
    <x v="29"/>
    <x v="1"/>
    <x v="13"/>
    <x v="2"/>
    <x v="6"/>
    <x v="23"/>
    <n v="1"/>
    <n v="1860"/>
    <n v="1860"/>
    <s v="delivered"/>
    <s v="Ralia Okwuchukwu"/>
    <d v="2020-02-12T00:00:00"/>
    <s v="General Trade"/>
    <x v="1"/>
  </r>
  <r>
    <d v="2020-01-12T00:00:00"/>
    <n v="2020"/>
    <x v="0"/>
    <n v="12"/>
    <x v="0"/>
    <x v="35"/>
    <x v="30"/>
    <x v="8"/>
    <x v="14"/>
    <x v="2"/>
    <x v="5"/>
    <x v="24"/>
    <n v="1"/>
    <n v="2000"/>
    <n v="2000"/>
    <s v="delivered"/>
    <s v="oreoluwa chidi"/>
    <d v="2020-02-12T00:00:00"/>
    <s v="General Trade"/>
    <x v="1"/>
  </r>
  <r>
    <d v="2020-01-12T00:00:00"/>
    <n v="2020"/>
    <x v="0"/>
    <n v="12"/>
    <x v="0"/>
    <x v="35"/>
    <x v="30"/>
    <x v="2"/>
    <x v="9"/>
    <x v="2"/>
    <x v="4"/>
    <x v="19"/>
    <n v="1"/>
    <n v="9120"/>
    <n v="9120"/>
    <s v="delivered"/>
    <s v="oreoluwa chidi"/>
    <d v="2020-02-12T00:00:00"/>
    <s v="General Trade"/>
    <x v="1"/>
  </r>
  <r>
    <d v="2020-01-12T00:00:00"/>
    <n v="2020"/>
    <x v="0"/>
    <n v="12"/>
    <x v="0"/>
    <x v="36"/>
    <x v="31"/>
    <x v="2"/>
    <x v="9"/>
    <x v="2"/>
    <x v="4"/>
    <x v="19"/>
    <n v="2"/>
    <n v="9120"/>
    <n v="18240"/>
    <s v="delivered"/>
    <s v="vanessa Jude"/>
    <d v="2020-02-12T00:00:00"/>
    <s v="General Trade"/>
    <x v="1"/>
  </r>
  <r>
    <d v="2020-01-12T00:00:00"/>
    <n v="2020"/>
    <x v="0"/>
    <n v="12"/>
    <x v="0"/>
    <x v="37"/>
    <x v="32"/>
    <x v="7"/>
    <x v="12"/>
    <x v="2"/>
    <x v="7"/>
    <x v="25"/>
    <n v="1"/>
    <n v="3000"/>
    <n v="3000"/>
    <s v="delivered"/>
    <s v="Chiamaka Richard"/>
    <d v="2020-02-12T00:00:00"/>
    <s v="General Trade"/>
    <x v="1"/>
  </r>
  <r>
    <d v="2020-01-12T00:00:00"/>
    <n v="2020"/>
    <x v="0"/>
    <n v="12"/>
    <x v="0"/>
    <x v="37"/>
    <x v="32"/>
    <x v="1"/>
    <x v="13"/>
    <x v="2"/>
    <x v="6"/>
    <x v="26"/>
    <n v="1"/>
    <n v="4400"/>
    <n v="4400"/>
    <s v="delivered"/>
    <s v="Chiamaka Richard"/>
    <d v="2020-02-12T00:00:00"/>
    <s v="General Trade"/>
    <x v="1"/>
  </r>
  <r>
    <d v="2020-01-12T00:00:00"/>
    <n v="2020"/>
    <x v="0"/>
    <n v="12"/>
    <x v="0"/>
    <x v="2"/>
    <x v="2"/>
    <x v="2"/>
    <x v="9"/>
    <x v="2"/>
    <x v="4"/>
    <x v="27"/>
    <n v="1"/>
    <n v="9350"/>
    <n v="9350"/>
    <s v="delivered"/>
    <s v="Adaeze gabriel"/>
    <d v="2020-02-12T00:00:00"/>
    <s v="General Trade"/>
    <x v="0"/>
  </r>
  <r>
    <d v="2020-01-12T00:00:00"/>
    <n v="2020"/>
    <x v="0"/>
    <n v="12"/>
    <x v="0"/>
    <x v="38"/>
    <x v="4"/>
    <x v="2"/>
    <x v="9"/>
    <x v="2"/>
    <x v="4"/>
    <x v="28"/>
    <n v="5"/>
    <n v="10050"/>
    <n v="50250"/>
    <s v="delivered"/>
    <s v="Adaeze gabriel"/>
    <d v="2020-02-12T00:00:00"/>
    <s v="Modern Trade"/>
    <x v="0"/>
  </r>
  <r>
    <d v="2020-01-12T00:00:00"/>
    <n v="2020"/>
    <x v="0"/>
    <n v="12"/>
    <x v="0"/>
    <x v="38"/>
    <x v="4"/>
    <x v="2"/>
    <x v="10"/>
    <x v="2"/>
    <x v="5"/>
    <x v="20"/>
    <n v="2"/>
    <n v="7450"/>
    <n v="14900"/>
    <s v="delivered"/>
    <s v="Adaeze gabriel"/>
    <d v="2020-02-12T00:00:00"/>
    <s v="Modern Trade"/>
    <x v="0"/>
  </r>
  <r>
    <d v="2020-01-12T00:00:00"/>
    <n v="2020"/>
    <x v="0"/>
    <n v="12"/>
    <x v="0"/>
    <x v="38"/>
    <x v="4"/>
    <x v="2"/>
    <x v="9"/>
    <x v="2"/>
    <x v="4"/>
    <x v="19"/>
    <n v="5"/>
    <n v="9120"/>
    <n v="45600"/>
    <s v="delivered"/>
    <s v="Adaeze gabriel"/>
    <d v="2020-02-12T00:00:00"/>
    <s v="Modern Trade"/>
    <x v="0"/>
  </r>
  <r>
    <d v="2020-02-12T00:00:00"/>
    <n v="2020"/>
    <x v="1"/>
    <n v="12"/>
    <x v="1"/>
    <x v="21"/>
    <x v="17"/>
    <x v="8"/>
    <x v="14"/>
    <x v="2"/>
    <x v="5"/>
    <x v="24"/>
    <n v="3"/>
    <n v="2000"/>
    <n v="6000"/>
    <s v="delivered"/>
    <s v="Rayo Enoch"/>
    <d v="2020-03-12T00:00:00"/>
    <s v="Wholesale"/>
    <x v="1"/>
  </r>
  <r>
    <d v="2020-02-12T00:00:00"/>
    <n v="2020"/>
    <x v="1"/>
    <n v="12"/>
    <x v="1"/>
    <x v="21"/>
    <x v="17"/>
    <x v="9"/>
    <x v="15"/>
    <x v="2"/>
    <x v="4"/>
    <x v="29"/>
    <n v="1"/>
    <n v="9050"/>
    <n v="9050"/>
    <s v="delivered"/>
    <s v="Rayo Enoch"/>
    <d v="2020-03-12T00:00:00"/>
    <s v="Wholesale"/>
    <x v="1"/>
  </r>
  <r>
    <d v="2020-02-12T00:00:00"/>
    <n v="2020"/>
    <x v="1"/>
    <n v="12"/>
    <x v="1"/>
    <x v="39"/>
    <x v="12"/>
    <x v="2"/>
    <x v="9"/>
    <x v="2"/>
    <x v="4"/>
    <x v="18"/>
    <n v="1"/>
    <n v="11200"/>
    <n v="11200"/>
    <s v="delivered"/>
    <s v="chinelo Isaac"/>
    <d v="2020-03-12T00:00:00"/>
    <s v="Wholesale"/>
    <x v="1"/>
  </r>
  <r>
    <d v="2020-02-12T00:00:00"/>
    <n v="2020"/>
    <x v="1"/>
    <n v="12"/>
    <x v="1"/>
    <x v="39"/>
    <x v="12"/>
    <x v="6"/>
    <x v="16"/>
    <x v="2"/>
    <x v="6"/>
    <x v="30"/>
    <n v="1"/>
    <n v="11000"/>
    <n v="11000"/>
    <s v="delivered"/>
    <s v="chinelo Isaac"/>
    <d v="2020-03-12T00:00:00"/>
    <s v="Wholesale"/>
    <x v="1"/>
  </r>
  <r>
    <d v="2020-02-12T00:00:00"/>
    <n v="2020"/>
    <x v="1"/>
    <n v="12"/>
    <x v="1"/>
    <x v="40"/>
    <x v="33"/>
    <x v="9"/>
    <x v="15"/>
    <x v="2"/>
    <x v="4"/>
    <x v="29"/>
    <n v="1"/>
    <n v="9050"/>
    <n v="9050"/>
    <s v="delivered"/>
    <s v="Bola Abiodun"/>
    <d v="2020-03-12T00:00:00"/>
    <s v="General Trade"/>
    <x v="1"/>
  </r>
  <r>
    <d v="2020-02-12T00:00:00"/>
    <n v="2020"/>
    <x v="1"/>
    <n v="12"/>
    <x v="1"/>
    <x v="40"/>
    <x v="33"/>
    <x v="10"/>
    <x v="17"/>
    <x v="2"/>
    <x v="6"/>
    <x v="31"/>
    <n v="1"/>
    <n v="7000"/>
    <n v="7000"/>
    <s v="delivered"/>
    <s v="Bola Abiodun"/>
    <d v="2020-03-12T00:00:00"/>
    <s v="General Trade"/>
    <x v="1"/>
  </r>
  <r>
    <d v="2020-02-12T00:00:00"/>
    <n v="2020"/>
    <x v="1"/>
    <n v="12"/>
    <x v="1"/>
    <x v="40"/>
    <x v="33"/>
    <x v="8"/>
    <x v="14"/>
    <x v="2"/>
    <x v="5"/>
    <x v="24"/>
    <n v="2"/>
    <n v="2000"/>
    <n v="4000"/>
    <s v="delivered"/>
    <s v="Bola Abiodun"/>
    <d v="2020-03-12T00:00:00"/>
    <s v="General Trade"/>
    <x v="1"/>
  </r>
  <r>
    <d v="2020-02-12T00:00:00"/>
    <n v="2020"/>
    <x v="1"/>
    <n v="12"/>
    <x v="1"/>
    <x v="40"/>
    <x v="33"/>
    <x v="1"/>
    <x v="13"/>
    <x v="2"/>
    <x v="6"/>
    <x v="32"/>
    <n v="1"/>
    <n v="3750"/>
    <n v="3750"/>
    <s v="delivered"/>
    <s v="Bola Abiodun"/>
    <d v="2020-03-12T00:00:00"/>
    <s v="General Trade"/>
    <x v="1"/>
  </r>
  <r>
    <d v="2020-02-12T00:00:00"/>
    <n v="2020"/>
    <x v="1"/>
    <n v="12"/>
    <x v="1"/>
    <x v="41"/>
    <x v="34"/>
    <x v="10"/>
    <x v="17"/>
    <x v="2"/>
    <x v="6"/>
    <x v="33"/>
    <n v="1"/>
    <n v="6750"/>
    <n v="6750"/>
    <s v="delivered"/>
    <s v="Chinonso Micheal"/>
    <d v="2020-03-12T00:00:00"/>
    <s v="General Trade"/>
    <x v="1"/>
  </r>
  <r>
    <d v="2020-02-12T00:00:00"/>
    <n v="2020"/>
    <x v="1"/>
    <n v="12"/>
    <x v="1"/>
    <x v="41"/>
    <x v="34"/>
    <x v="2"/>
    <x v="9"/>
    <x v="2"/>
    <x v="4"/>
    <x v="19"/>
    <n v="1"/>
    <n v="9120"/>
    <n v="9120"/>
    <s v="delivered"/>
    <s v="Chinonso Micheal"/>
    <d v="2020-03-12T00:00:00"/>
    <s v="General Trade"/>
    <x v="1"/>
  </r>
  <r>
    <d v="2020-01-12T00:00:00"/>
    <n v="2020"/>
    <x v="0"/>
    <n v="12"/>
    <x v="0"/>
    <x v="42"/>
    <x v="35"/>
    <x v="2"/>
    <x v="9"/>
    <x v="2"/>
    <x v="4"/>
    <x v="18"/>
    <n v="1"/>
    <n v="11200"/>
    <n v="11200"/>
    <s v="delivered"/>
    <s v="vanessa Jude"/>
    <d v="2020-03-12T00:00:00"/>
    <s v="General Trade"/>
    <x v="1"/>
  </r>
  <r>
    <d v="2020-01-12T00:00:00"/>
    <n v="2020"/>
    <x v="0"/>
    <n v="12"/>
    <x v="0"/>
    <x v="42"/>
    <x v="35"/>
    <x v="2"/>
    <x v="9"/>
    <x v="2"/>
    <x v="4"/>
    <x v="19"/>
    <n v="1"/>
    <n v="9120"/>
    <n v="9120"/>
    <s v="delivered"/>
    <s v="vanessa Jude"/>
    <d v="2020-03-12T00:00:00"/>
    <s v="General Trade"/>
    <x v="1"/>
  </r>
  <r>
    <d v="2020-01-12T00:00:00"/>
    <n v="2020"/>
    <x v="0"/>
    <n v="12"/>
    <x v="0"/>
    <x v="43"/>
    <x v="0"/>
    <x v="6"/>
    <x v="11"/>
    <x v="2"/>
    <x v="6"/>
    <x v="34"/>
    <n v="15"/>
    <n v="8500"/>
    <n v="127500"/>
    <s v="delivered"/>
    <s v="Mary paul"/>
    <d v="2020-03-12T00:00:00"/>
    <s v="General Trade"/>
    <x v="0"/>
  </r>
  <r>
    <d v="2020-02-12T00:00:00"/>
    <n v="2020"/>
    <x v="1"/>
    <n v="12"/>
    <x v="1"/>
    <x v="44"/>
    <x v="0"/>
    <x v="10"/>
    <x v="17"/>
    <x v="2"/>
    <x v="6"/>
    <x v="35"/>
    <n v="10"/>
    <n v="8500"/>
    <n v="85000"/>
    <s v="delivered"/>
    <s v="Mary paul"/>
    <d v="2020-03-12T00:00:00"/>
    <s v="General Trade"/>
    <x v="0"/>
  </r>
  <r>
    <d v="2020-02-12T00:00:00"/>
    <n v="2020"/>
    <x v="1"/>
    <n v="12"/>
    <x v="1"/>
    <x v="45"/>
    <x v="0"/>
    <x v="10"/>
    <x v="17"/>
    <x v="2"/>
    <x v="6"/>
    <x v="33"/>
    <n v="50"/>
    <n v="6750"/>
    <n v="337500"/>
    <s v="delivered"/>
    <s v="Mary paul"/>
    <d v="2020-03-12T00:00:00"/>
    <s v="General Trade"/>
    <x v="0"/>
  </r>
  <r>
    <d v="2020-02-12T00:00:00"/>
    <n v="2020"/>
    <x v="1"/>
    <n v="12"/>
    <x v="1"/>
    <x v="46"/>
    <x v="0"/>
    <x v="10"/>
    <x v="17"/>
    <x v="2"/>
    <x v="6"/>
    <x v="33"/>
    <n v="60"/>
    <n v="6750"/>
    <n v="405000"/>
    <s v="delivered"/>
    <s v="Mary paul"/>
    <d v="2020-03-12T00:00:00"/>
    <s v="General Trade"/>
    <x v="0"/>
  </r>
  <r>
    <d v="2020-02-12T00:00:00"/>
    <n v="2020"/>
    <x v="1"/>
    <n v="12"/>
    <x v="1"/>
    <x v="47"/>
    <x v="28"/>
    <x v="9"/>
    <x v="15"/>
    <x v="2"/>
    <x v="4"/>
    <x v="29"/>
    <n v="5"/>
    <n v="9050"/>
    <n v="45250"/>
    <s v="delivered"/>
    <s v="Esther Victor"/>
    <d v="2020-03-12T00:00:00"/>
    <s v="General Trade"/>
    <x v="0"/>
  </r>
  <r>
    <d v="2020-02-12T00:00:00"/>
    <n v="2020"/>
    <x v="1"/>
    <n v="12"/>
    <x v="1"/>
    <x v="48"/>
    <x v="28"/>
    <x v="9"/>
    <x v="15"/>
    <x v="2"/>
    <x v="4"/>
    <x v="29"/>
    <n v="5"/>
    <n v="9050"/>
    <n v="45250"/>
    <s v="delivered"/>
    <s v="Esther Victor"/>
    <d v="2020-03-12T00:00:00"/>
    <s v="General Trade"/>
    <x v="0"/>
  </r>
  <r>
    <d v="2020-02-12T00:00:00"/>
    <n v="2020"/>
    <x v="1"/>
    <n v="12"/>
    <x v="1"/>
    <x v="49"/>
    <x v="28"/>
    <x v="2"/>
    <x v="9"/>
    <x v="2"/>
    <x v="4"/>
    <x v="19"/>
    <n v="15"/>
    <n v="9120"/>
    <n v="136800"/>
    <s v="delivered"/>
    <s v="Esther Victor"/>
    <d v="2020-03-12T00:00:00"/>
    <s v="General Trade"/>
    <x v="0"/>
  </r>
  <r>
    <d v="2020-01-12T00:00:00"/>
    <n v="2020"/>
    <x v="0"/>
    <n v="12"/>
    <x v="0"/>
    <x v="6"/>
    <x v="4"/>
    <x v="11"/>
    <x v="18"/>
    <x v="2"/>
    <x v="8"/>
    <x v="36"/>
    <n v="5"/>
    <n v="4200"/>
    <n v="21000"/>
    <s v="delivered"/>
    <s v="Adaeze gabriel"/>
    <d v="2020-03-12T00:00:00"/>
    <s v="Modern Trade"/>
    <x v="0"/>
  </r>
  <r>
    <d v="2020-01-12T00:00:00"/>
    <n v="2020"/>
    <x v="0"/>
    <n v="12"/>
    <x v="0"/>
    <x v="6"/>
    <x v="4"/>
    <x v="7"/>
    <x v="12"/>
    <x v="2"/>
    <x v="7"/>
    <x v="25"/>
    <n v="3"/>
    <n v="3000"/>
    <n v="9000"/>
    <s v="delivered"/>
    <s v="Adaeze gabriel"/>
    <d v="2020-03-12T00:00:00"/>
    <s v="Modern Trade"/>
    <x v="0"/>
  </r>
  <r>
    <d v="2020-01-12T00:00:00"/>
    <n v="2020"/>
    <x v="0"/>
    <n v="12"/>
    <x v="0"/>
    <x v="6"/>
    <x v="4"/>
    <x v="7"/>
    <x v="12"/>
    <x v="2"/>
    <x v="7"/>
    <x v="22"/>
    <n v="3"/>
    <n v="3000"/>
    <n v="9000"/>
    <s v="delivered"/>
    <s v="Adaeze gabriel"/>
    <d v="2020-03-12T00:00:00"/>
    <s v="Modern Trade"/>
    <x v="0"/>
  </r>
  <r>
    <d v="2020-01-12T00:00:00"/>
    <n v="2020"/>
    <x v="0"/>
    <n v="12"/>
    <x v="0"/>
    <x v="50"/>
    <x v="4"/>
    <x v="2"/>
    <x v="9"/>
    <x v="2"/>
    <x v="4"/>
    <x v="28"/>
    <n v="5"/>
    <n v="10050"/>
    <n v="50250"/>
    <s v="delivered"/>
    <s v="Adaeze gabriel"/>
    <d v="2020-03-12T00:00:00"/>
    <s v="Modern Trade"/>
    <x v="0"/>
  </r>
  <r>
    <d v="2020-03-12T00:00:00"/>
    <n v="2020"/>
    <x v="2"/>
    <n v="12"/>
    <x v="2"/>
    <x v="51"/>
    <x v="36"/>
    <x v="10"/>
    <x v="17"/>
    <x v="2"/>
    <x v="6"/>
    <x v="33"/>
    <n v="5"/>
    <n v="6750"/>
    <n v="33750"/>
    <s v="delivered"/>
    <s v="milcah Smart"/>
    <d v="2020-04-12T00:00:00"/>
    <s v="General Trade"/>
    <x v="1"/>
  </r>
  <r>
    <d v="2020-03-12T00:00:00"/>
    <n v="2020"/>
    <x v="2"/>
    <n v="12"/>
    <x v="2"/>
    <x v="52"/>
    <x v="37"/>
    <x v="6"/>
    <x v="11"/>
    <x v="2"/>
    <x v="6"/>
    <x v="21"/>
    <n v="1"/>
    <n v="7800"/>
    <n v="7800"/>
    <s v="delivered"/>
    <s v="Titi Bishop"/>
    <d v="2020-04-12T00:00:00"/>
    <s v="General Trade"/>
    <x v="1"/>
  </r>
  <r>
    <d v="2020-03-12T00:00:00"/>
    <n v="2020"/>
    <x v="2"/>
    <n v="12"/>
    <x v="2"/>
    <x v="52"/>
    <x v="37"/>
    <x v="10"/>
    <x v="17"/>
    <x v="2"/>
    <x v="6"/>
    <x v="33"/>
    <n v="1"/>
    <n v="6750"/>
    <n v="6750"/>
    <s v="delivered"/>
    <s v="Titi Bishop"/>
    <d v="2020-04-12T00:00:00"/>
    <s v="General Trade"/>
    <x v="1"/>
  </r>
  <r>
    <d v="2020-03-12T00:00:00"/>
    <n v="2020"/>
    <x v="2"/>
    <n v="12"/>
    <x v="2"/>
    <x v="53"/>
    <x v="38"/>
    <x v="10"/>
    <x v="17"/>
    <x v="2"/>
    <x v="6"/>
    <x v="33"/>
    <n v="4"/>
    <n v="6750"/>
    <n v="27000"/>
    <s v="delivered"/>
    <s v="Chinonso Micheal"/>
    <d v="2020-04-12T00:00:00"/>
    <s v="Wholesale"/>
    <x v="0"/>
  </r>
  <r>
    <d v="2020-03-12T00:00:00"/>
    <n v="2020"/>
    <x v="2"/>
    <n v="12"/>
    <x v="2"/>
    <x v="53"/>
    <x v="38"/>
    <x v="9"/>
    <x v="15"/>
    <x v="2"/>
    <x v="4"/>
    <x v="29"/>
    <n v="1"/>
    <n v="9050"/>
    <n v="9050"/>
    <s v="delivered"/>
    <s v="Chinonso Micheal"/>
    <d v="2020-04-12T00:00:00"/>
    <s v="Wholesale"/>
    <x v="0"/>
  </r>
  <r>
    <d v="2020-03-12T00:00:00"/>
    <n v="2020"/>
    <x v="2"/>
    <n v="12"/>
    <x v="2"/>
    <x v="54"/>
    <x v="39"/>
    <x v="2"/>
    <x v="9"/>
    <x v="2"/>
    <x v="4"/>
    <x v="18"/>
    <n v="1"/>
    <n v="11200"/>
    <n v="11200"/>
    <s v="delivered"/>
    <s v="Blessing michael"/>
    <d v="2020-04-12T00:00:00"/>
    <s v="General Trade"/>
    <x v="2"/>
  </r>
  <r>
    <d v="2020-03-12T00:00:00"/>
    <n v="2020"/>
    <x v="2"/>
    <n v="12"/>
    <x v="2"/>
    <x v="54"/>
    <x v="39"/>
    <x v="10"/>
    <x v="17"/>
    <x v="2"/>
    <x v="6"/>
    <x v="35"/>
    <n v="1"/>
    <n v="8500"/>
    <n v="8500"/>
    <s v="delivered"/>
    <s v="Blessing michael"/>
    <d v="2020-04-12T00:00:00"/>
    <s v="General Trade"/>
    <x v="2"/>
  </r>
  <r>
    <d v="2020-03-12T00:00:00"/>
    <n v="2020"/>
    <x v="2"/>
    <n v="12"/>
    <x v="2"/>
    <x v="55"/>
    <x v="40"/>
    <x v="2"/>
    <x v="9"/>
    <x v="2"/>
    <x v="4"/>
    <x v="18"/>
    <n v="1"/>
    <n v="11200"/>
    <n v="11200"/>
    <s v="delivered"/>
    <s v="chinelo Isaac"/>
    <d v="2020-04-12T00:00:00"/>
    <s v="General Trade"/>
    <x v="2"/>
  </r>
  <r>
    <d v="2020-03-12T00:00:00"/>
    <n v="2020"/>
    <x v="2"/>
    <n v="12"/>
    <x v="2"/>
    <x v="55"/>
    <x v="40"/>
    <x v="6"/>
    <x v="16"/>
    <x v="2"/>
    <x v="6"/>
    <x v="30"/>
    <n v="1"/>
    <n v="11000"/>
    <n v="11000"/>
    <s v="delivered"/>
    <s v="chinelo Isaac"/>
    <d v="2020-04-12T00:00:00"/>
    <s v="General Trade"/>
    <x v="2"/>
  </r>
  <r>
    <d v="2020-03-12T00:00:00"/>
    <n v="2020"/>
    <x v="2"/>
    <n v="12"/>
    <x v="2"/>
    <x v="55"/>
    <x v="40"/>
    <x v="10"/>
    <x v="17"/>
    <x v="2"/>
    <x v="6"/>
    <x v="35"/>
    <n v="1"/>
    <n v="8500"/>
    <n v="8500"/>
    <s v="delivered"/>
    <s v="chinelo Isaac"/>
    <d v="2020-04-12T00:00:00"/>
    <s v="General Trade"/>
    <x v="2"/>
  </r>
  <r>
    <d v="2020-03-12T00:00:00"/>
    <n v="2020"/>
    <x v="2"/>
    <n v="12"/>
    <x v="2"/>
    <x v="56"/>
    <x v="41"/>
    <x v="10"/>
    <x v="17"/>
    <x v="2"/>
    <x v="6"/>
    <x v="35"/>
    <n v="1"/>
    <n v="8500"/>
    <n v="8500"/>
    <s v="delivered"/>
    <s v="benita Alvin"/>
    <d v="2020-04-12T00:00:00"/>
    <s v="General Trade"/>
    <x v="2"/>
  </r>
  <r>
    <d v="2020-03-12T00:00:00"/>
    <n v="2020"/>
    <x v="2"/>
    <n v="12"/>
    <x v="2"/>
    <x v="56"/>
    <x v="41"/>
    <x v="6"/>
    <x v="11"/>
    <x v="2"/>
    <x v="6"/>
    <x v="21"/>
    <n v="1"/>
    <n v="7800"/>
    <n v="7800"/>
    <s v="delivered"/>
    <s v="benita Alvin"/>
    <d v="2020-04-12T00:00:00"/>
    <s v="General Trade"/>
    <x v="2"/>
  </r>
  <r>
    <d v="2020-03-12T00:00:00"/>
    <n v="2020"/>
    <x v="2"/>
    <n v="12"/>
    <x v="2"/>
    <x v="56"/>
    <x v="41"/>
    <x v="6"/>
    <x v="11"/>
    <x v="2"/>
    <x v="6"/>
    <x v="37"/>
    <n v="1"/>
    <n v="6350"/>
    <n v="6350"/>
    <s v="delivered"/>
    <s v="benita Alvin"/>
    <d v="2020-04-12T00:00:00"/>
    <s v="General Trade"/>
    <x v="2"/>
  </r>
  <r>
    <d v="2020-03-12T00:00:00"/>
    <n v="2020"/>
    <x v="2"/>
    <n v="12"/>
    <x v="2"/>
    <x v="56"/>
    <x v="41"/>
    <x v="8"/>
    <x v="14"/>
    <x v="2"/>
    <x v="5"/>
    <x v="24"/>
    <n v="1"/>
    <n v="2000"/>
    <n v="2000"/>
    <s v="delivered"/>
    <s v="benita Alvin"/>
    <d v="2020-04-12T00:00:00"/>
    <s v="General Trade"/>
    <x v="2"/>
  </r>
  <r>
    <d v="2020-03-12T00:00:00"/>
    <n v="2020"/>
    <x v="2"/>
    <n v="12"/>
    <x v="2"/>
    <x v="56"/>
    <x v="41"/>
    <x v="1"/>
    <x v="13"/>
    <x v="2"/>
    <x v="6"/>
    <x v="26"/>
    <n v="2"/>
    <n v="4550"/>
    <n v="9100"/>
    <s v="delivered"/>
    <s v="benita Alvin"/>
    <d v="2020-04-12T00:00:00"/>
    <s v="General Trade"/>
    <x v="2"/>
  </r>
  <r>
    <d v="2020-03-12T00:00:00"/>
    <n v="2020"/>
    <x v="2"/>
    <n v="12"/>
    <x v="2"/>
    <x v="56"/>
    <x v="41"/>
    <x v="12"/>
    <x v="19"/>
    <x v="2"/>
    <x v="9"/>
    <x v="38"/>
    <n v="1"/>
    <n v="14900"/>
    <n v="14900"/>
    <s v="delivered"/>
    <s v="benita Alvin"/>
    <d v="2020-04-12T00:00:00"/>
    <s v="General Trade"/>
    <x v="2"/>
  </r>
  <r>
    <d v="2020-03-12T00:00:00"/>
    <n v="2020"/>
    <x v="2"/>
    <n v="12"/>
    <x v="2"/>
    <x v="57"/>
    <x v="41"/>
    <x v="2"/>
    <x v="9"/>
    <x v="2"/>
    <x v="4"/>
    <x v="19"/>
    <n v="3"/>
    <n v="9120"/>
    <n v="27360"/>
    <s v="delivered"/>
    <s v="benita Alvin"/>
    <d v="2020-04-12T00:00:00"/>
    <s v="General Trade"/>
    <x v="1"/>
  </r>
  <r>
    <d v="2020-03-12T00:00:00"/>
    <n v="2020"/>
    <x v="2"/>
    <n v="12"/>
    <x v="2"/>
    <x v="58"/>
    <x v="41"/>
    <x v="7"/>
    <x v="12"/>
    <x v="2"/>
    <x v="7"/>
    <x v="25"/>
    <n v="1"/>
    <n v="3000"/>
    <n v="3000"/>
    <s v="delivered"/>
    <s v="benita Alvin"/>
    <d v="2020-04-12T00:00:00"/>
    <s v="General Trade"/>
    <x v="1"/>
  </r>
  <r>
    <d v="2020-03-12T00:00:00"/>
    <n v="2020"/>
    <x v="2"/>
    <n v="12"/>
    <x v="2"/>
    <x v="58"/>
    <x v="41"/>
    <x v="8"/>
    <x v="14"/>
    <x v="2"/>
    <x v="5"/>
    <x v="24"/>
    <n v="1"/>
    <n v="2000"/>
    <n v="2000"/>
    <s v="delivered"/>
    <s v="benita Alvin"/>
    <d v="2020-04-12T00:00:00"/>
    <s v="General Trade"/>
    <x v="1"/>
  </r>
  <r>
    <d v="2020-03-12T00:00:00"/>
    <n v="2020"/>
    <x v="2"/>
    <n v="12"/>
    <x v="2"/>
    <x v="59"/>
    <x v="0"/>
    <x v="2"/>
    <x v="10"/>
    <x v="2"/>
    <x v="5"/>
    <x v="39"/>
    <n v="10"/>
    <n v="7050"/>
    <n v="70500"/>
    <s v="delivered"/>
    <s v="Maryjane Joel"/>
    <d v="2020-04-12T00:00:00"/>
    <s v="General Trade"/>
    <x v="0"/>
  </r>
  <r>
    <d v="2020-03-12T00:00:00"/>
    <n v="2020"/>
    <x v="2"/>
    <n v="12"/>
    <x v="2"/>
    <x v="60"/>
    <x v="0"/>
    <x v="2"/>
    <x v="9"/>
    <x v="2"/>
    <x v="4"/>
    <x v="18"/>
    <n v="5"/>
    <n v="11200"/>
    <n v="56000"/>
    <s v="delivered"/>
    <s v="Maryjane Joel"/>
    <d v="2020-04-12T00:00:00"/>
    <s v="General Trade"/>
    <x v="0"/>
  </r>
  <r>
    <d v="2020-03-12T00:00:00"/>
    <n v="2020"/>
    <x v="2"/>
    <n v="12"/>
    <x v="2"/>
    <x v="61"/>
    <x v="0"/>
    <x v="2"/>
    <x v="9"/>
    <x v="2"/>
    <x v="4"/>
    <x v="18"/>
    <n v="5"/>
    <n v="11200"/>
    <n v="56000"/>
    <s v="delivered"/>
    <s v="Maryjane Joel"/>
    <d v="2020-04-12T00:00:00"/>
    <s v="General Trade"/>
    <x v="0"/>
  </r>
  <r>
    <d v="2020-03-12T00:00:00"/>
    <n v="2020"/>
    <x v="2"/>
    <n v="12"/>
    <x v="2"/>
    <x v="62"/>
    <x v="0"/>
    <x v="2"/>
    <x v="10"/>
    <x v="2"/>
    <x v="5"/>
    <x v="20"/>
    <n v="5"/>
    <n v="7450"/>
    <n v="37250"/>
    <s v="delivered"/>
    <s v="Maryjane Joel"/>
    <d v="2020-04-12T00:00:00"/>
    <s v="General Trade"/>
    <x v="0"/>
  </r>
  <r>
    <d v="2020-03-12T00:00:00"/>
    <n v="2020"/>
    <x v="2"/>
    <n v="12"/>
    <x v="2"/>
    <x v="63"/>
    <x v="25"/>
    <x v="7"/>
    <x v="12"/>
    <x v="2"/>
    <x v="7"/>
    <x v="25"/>
    <n v="2"/>
    <n v="3000"/>
    <n v="6000"/>
    <s v="delivered"/>
    <s v="zainab Pascal"/>
    <d v="2020-04-12T00:00:00"/>
    <s v="Wholesale"/>
    <x v="1"/>
  </r>
  <r>
    <d v="2020-03-12T00:00:00"/>
    <n v="2020"/>
    <x v="2"/>
    <n v="12"/>
    <x v="2"/>
    <x v="64"/>
    <x v="42"/>
    <x v="10"/>
    <x v="17"/>
    <x v="2"/>
    <x v="6"/>
    <x v="35"/>
    <n v="5"/>
    <n v="8500"/>
    <n v="42500"/>
    <s v="delivered"/>
    <s v="Hellen Prince"/>
    <d v="2020-04-12T00:00:00"/>
    <s v="General Trade"/>
    <x v="1"/>
  </r>
  <r>
    <d v="2020-03-12T00:00:00"/>
    <n v="2020"/>
    <x v="2"/>
    <n v="12"/>
    <x v="2"/>
    <x v="64"/>
    <x v="42"/>
    <x v="2"/>
    <x v="10"/>
    <x v="2"/>
    <x v="5"/>
    <x v="20"/>
    <n v="3"/>
    <n v="7450"/>
    <n v="22350"/>
    <s v="delivered"/>
    <s v="Hellen Prince"/>
    <d v="2020-04-12T00:00:00"/>
    <s v="General Trade"/>
    <x v="2"/>
  </r>
  <r>
    <d v="2020-03-12T00:00:00"/>
    <n v="2020"/>
    <x v="2"/>
    <n v="12"/>
    <x v="2"/>
    <x v="7"/>
    <x v="5"/>
    <x v="2"/>
    <x v="9"/>
    <x v="2"/>
    <x v="4"/>
    <x v="18"/>
    <n v="1"/>
    <n v="11200"/>
    <n v="11200"/>
    <s v="delivered"/>
    <s v="Mary paul"/>
    <d v="2020-04-12T00:00:00"/>
    <s v="General Trade"/>
    <x v="2"/>
  </r>
  <r>
    <d v="2020-03-12T00:00:00"/>
    <n v="2020"/>
    <x v="2"/>
    <n v="12"/>
    <x v="2"/>
    <x v="7"/>
    <x v="5"/>
    <x v="9"/>
    <x v="15"/>
    <x v="2"/>
    <x v="4"/>
    <x v="40"/>
    <n v="1"/>
    <n v="11150"/>
    <n v="11150"/>
    <s v="delivered"/>
    <s v="Mary paul"/>
    <d v="2020-04-12T00:00:00"/>
    <s v="General Trade"/>
    <x v="2"/>
  </r>
  <r>
    <d v="2020-03-12T00:00:00"/>
    <n v="2020"/>
    <x v="2"/>
    <n v="12"/>
    <x v="2"/>
    <x v="65"/>
    <x v="27"/>
    <x v="12"/>
    <x v="19"/>
    <x v="2"/>
    <x v="9"/>
    <x v="41"/>
    <n v="1"/>
    <n v="5900"/>
    <n v="5900"/>
    <s v="delivered"/>
    <s v="stephanie azeez"/>
    <d v="2020-04-12T00:00:00"/>
    <s v="General Trade"/>
    <x v="2"/>
  </r>
  <r>
    <d v="2020-03-12T00:00:00"/>
    <n v="2020"/>
    <x v="2"/>
    <n v="12"/>
    <x v="2"/>
    <x v="65"/>
    <x v="27"/>
    <x v="1"/>
    <x v="13"/>
    <x v="2"/>
    <x v="6"/>
    <x v="26"/>
    <n v="1"/>
    <n v="4550"/>
    <n v="4550"/>
    <s v="delivered"/>
    <s v="stephanie azeez"/>
    <d v="2020-04-12T00:00:00"/>
    <s v="General Trade"/>
    <x v="2"/>
  </r>
  <r>
    <d v="2020-04-12T00:00:00"/>
    <n v="2020"/>
    <x v="3"/>
    <n v="12"/>
    <x v="3"/>
    <x v="66"/>
    <x v="43"/>
    <x v="2"/>
    <x v="9"/>
    <x v="2"/>
    <x v="4"/>
    <x v="19"/>
    <n v="1"/>
    <n v="9120"/>
    <n v="9120"/>
    <s v="delivered"/>
    <s v="Margaret Muhammed"/>
    <d v="2020-05-12T00:00:00"/>
    <s v="General Trade"/>
    <x v="2"/>
  </r>
  <r>
    <d v="2020-04-12T00:00:00"/>
    <n v="2020"/>
    <x v="3"/>
    <n v="12"/>
    <x v="3"/>
    <x v="67"/>
    <x v="44"/>
    <x v="2"/>
    <x v="9"/>
    <x v="2"/>
    <x v="4"/>
    <x v="18"/>
    <n v="1"/>
    <n v="11200"/>
    <n v="11200"/>
    <s v="delivered"/>
    <s v="Ibukun Patrick"/>
    <d v="2020-05-12T00:00:00"/>
    <s v="General Trade"/>
    <x v="2"/>
  </r>
  <r>
    <d v="2020-04-12T00:00:00"/>
    <n v="2020"/>
    <x v="3"/>
    <n v="12"/>
    <x v="3"/>
    <x v="67"/>
    <x v="44"/>
    <x v="2"/>
    <x v="10"/>
    <x v="2"/>
    <x v="5"/>
    <x v="20"/>
    <n v="1"/>
    <n v="7450"/>
    <n v="7450"/>
    <s v="delivered"/>
    <s v="Ibukun Patrick"/>
    <d v="2020-05-12T00:00:00"/>
    <s v="General Trade"/>
    <x v="2"/>
  </r>
  <r>
    <d v="2020-04-12T00:00:00"/>
    <n v="2020"/>
    <x v="3"/>
    <n v="12"/>
    <x v="3"/>
    <x v="67"/>
    <x v="44"/>
    <x v="9"/>
    <x v="15"/>
    <x v="2"/>
    <x v="4"/>
    <x v="29"/>
    <n v="1"/>
    <n v="9050"/>
    <n v="9050"/>
    <s v="delivered"/>
    <s v="Ibukun Patrick"/>
    <d v="2020-05-12T00:00:00"/>
    <s v="General Trade"/>
    <x v="2"/>
  </r>
  <r>
    <d v="2020-04-12T00:00:00"/>
    <n v="2020"/>
    <x v="3"/>
    <n v="12"/>
    <x v="3"/>
    <x v="23"/>
    <x v="19"/>
    <x v="6"/>
    <x v="11"/>
    <x v="2"/>
    <x v="6"/>
    <x v="34"/>
    <n v="0.5"/>
    <n v="8500"/>
    <n v="4250"/>
    <s v="delivered"/>
    <s v="Shainaan Buchi"/>
    <d v="2020-05-12T00:00:00"/>
    <s v="General Trade"/>
    <x v="2"/>
  </r>
  <r>
    <d v="2020-04-12T00:00:00"/>
    <n v="2020"/>
    <x v="3"/>
    <n v="12"/>
    <x v="3"/>
    <x v="23"/>
    <x v="19"/>
    <x v="6"/>
    <x v="11"/>
    <x v="2"/>
    <x v="6"/>
    <x v="21"/>
    <n v="0.5"/>
    <n v="7800"/>
    <n v="3900"/>
    <s v="delivered"/>
    <s v="Shainaan Buchi"/>
    <d v="2020-05-12T00:00:00"/>
    <s v="General Trade"/>
    <x v="2"/>
  </r>
  <r>
    <d v="2020-04-12T00:00:00"/>
    <n v="2020"/>
    <x v="3"/>
    <n v="12"/>
    <x v="3"/>
    <x v="23"/>
    <x v="19"/>
    <x v="7"/>
    <x v="12"/>
    <x v="2"/>
    <x v="7"/>
    <x v="25"/>
    <n v="1"/>
    <n v="3000"/>
    <n v="3000"/>
    <s v="delivered"/>
    <s v="Shainaan Buchi"/>
    <d v="2020-05-12T00:00:00"/>
    <s v="General Trade"/>
    <x v="1"/>
  </r>
  <r>
    <d v="2020-04-12T00:00:00"/>
    <n v="2020"/>
    <x v="3"/>
    <n v="12"/>
    <x v="3"/>
    <x v="23"/>
    <x v="19"/>
    <x v="7"/>
    <x v="12"/>
    <x v="2"/>
    <x v="7"/>
    <x v="22"/>
    <n v="1"/>
    <n v="3000"/>
    <n v="3000"/>
    <s v="delivered"/>
    <s v="Shainaan Buchi"/>
    <d v="2020-05-12T00:00:00"/>
    <s v="General Trade"/>
    <x v="1"/>
  </r>
  <r>
    <d v="2020-04-12T00:00:00"/>
    <n v="2020"/>
    <x v="3"/>
    <n v="12"/>
    <x v="3"/>
    <x v="8"/>
    <x v="6"/>
    <x v="2"/>
    <x v="9"/>
    <x v="2"/>
    <x v="4"/>
    <x v="42"/>
    <n v="1"/>
    <n v="13600"/>
    <n v="13600"/>
    <s v="delivered"/>
    <s v="Esther Victor"/>
    <d v="2020-05-12T00:00:00"/>
    <s v="General Trade"/>
    <x v="0"/>
  </r>
  <r>
    <d v="2020-04-12T00:00:00"/>
    <n v="2020"/>
    <x v="3"/>
    <n v="12"/>
    <x v="3"/>
    <x v="8"/>
    <x v="6"/>
    <x v="2"/>
    <x v="9"/>
    <x v="2"/>
    <x v="4"/>
    <x v="43"/>
    <n v="1"/>
    <n v="16500"/>
    <n v="16500"/>
    <s v="delivered"/>
    <s v="Esther Victor"/>
    <d v="2020-05-12T00:00:00"/>
    <s v="General Trade"/>
    <x v="0"/>
  </r>
  <r>
    <d v="2020-04-12T00:00:00"/>
    <n v="2020"/>
    <x v="3"/>
    <n v="12"/>
    <x v="3"/>
    <x v="8"/>
    <x v="6"/>
    <x v="1"/>
    <x v="20"/>
    <x v="2"/>
    <x v="6"/>
    <x v="44"/>
    <n v="1"/>
    <n v="8800"/>
    <n v="8800"/>
    <s v="delivered"/>
    <s v="Esther Victor"/>
    <d v="2020-05-12T00:00:00"/>
    <s v="General Trade"/>
    <x v="0"/>
  </r>
  <r>
    <d v="2020-04-12T00:00:00"/>
    <n v="2020"/>
    <x v="3"/>
    <n v="12"/>
    <x v="3"/>
    <x v="68"/>
    <x v="45"/>
    <x v="8"/>
    <x v="14"/>
    <x v="2"/>
    <x v="5"/>
    <x v="24"/>
    <n v="3"/>
    <n v="2000"/>
    <n v="6000"/>
    <s v="delivered"/>
    <s v="Rita uche"/>
    <d v="2020-05-12T00:00:00"/>
    <s v="Wholesale"/>
    <x v="1"/>
  </r>
  <r>
    <d v="2020-04-12T00:00:00"/>
    <n v="2020"/>
    <x v="3"/>
    <n v="12"/>
    <x v="3"/>
    <x v="69"/>
    <x v="46"/>
    <x v="6"/>
    <x v="11"/>
    <x v="2"/>
    <x v="6"/>
    <x v="21"/>
    <n v="2"/>
    <n v="7800"/>
    <n v="15600"/>
    <s v="delivered"/>
    <s v="Loveth Adesoji"/>
    <d v="2020-05-12T00:00:00"/>
    <s v="Wholesale"/>
    <x v="1"/>
  </r>
  <r>
    <d v="2020-04-12T00:00:00"/>
    <n v="2020"/>
    <x v="3"/>
    <n v="12"/>
    <x v="3"/>
    <x v="69"/>
    <x v="46"/>
    <x v="6"/>
    <x v="11"/>
    <x v="2"/>
    <x v="6"/>
    <x v="34"/>
    <n v="2"/>
    <n v="8500"/>
    <n v="17000"/>
    <s v="delivered"/>
    <s v="Loveth Adesoji"/>
    <d v="2020-05-12T00:00:00"/>
    <s v="Wholesale"/>
    <x v="1"/>
  </r>
  <r>
    <d v="2020-04-12T00:00:00"/>
    <n v="2020"/>
    <x v="3"/>
    <n v="12"/>
    <x v="3"/>
    <x v="69"/>
    <x v="46"/>
    <x v="8"/>
    <x v="14"/>
    <x v="2"/>
    <x v="5"/>
    <x v="24"/>
    <n v="4"/>
    <n v="2000"/>
    <n v="8000"/>
    <s v="delivered"/>
    <s v="Loveth Adesoji"/>
    <d v="2020-05-12T00:00:00"/>
    <s v="Wholesale"/>
    <x v="1"/>
  </r>
  <r>
    <d v="2020-04-12T00:00:00"/>
    <n v="2020"/>
    <x v="3"/>
    <n v="12"/>
    <x v="3"/>
    <x v="70"/>
    <x v="0"/>
    <x v="2"/>
    <x v="9"/>
    <x v="2"/>
    <x v="4"/>
    <x v="19"/>
    <n v="10"/>
    <n v="9120"/>
    <n v="91200"/>
    <s v="delivered"/>
    <s v="Maryjane Joel"/>
    <d v="2020-05-12T00:00:00"/>
    <s v="General Trade"/>
    <x v="0"/>
  </r>
  <r>
    <d v="2020-04-12T00:00:00"/>
    <n v="2020"/>
    <x v="3"/>
    <n v="12"/>
    <x v="3"/>
    <x v="71"/>
    <x v="0"/>
    <x v="2"/>
    <x v="9"/>
    <x v="2"/>
    <x v="4"/>
    <x v="19"/>
    <n v="5"/>
    <n v="9120"/>
    <n v="45600"/>
    <s v="delivered"/>
    <s v="Maryjane Joel"/>
    <d v="2020-05-12T00:00:00"/>
    <s v="General Trade"/>
    <x v="0"/>
  </r>
  <r>
    <d v="2020-03-12T00:00:00"/>
    <n v="2020"/>
    <x v="2"/>
    <n v="12"/>
    <x v="2"/>
    <x v="72"/>
    <x v="47"/>
    <x v="1"/>
    <x v="20"/>
    <x v="2"/>
    <x v="6"/>
    <x v="44"/>
    <n v="1"/>
    <n v="8800"/>
    <n v="8800"/>
    <s v="delivered"/>
    <s v="Ayomide Charles"/>
    <d v="2020-05-12T00:00:00"/>
    <s v="Wholesale"/>
    <x v="1"/>
  </r>
  <r>
    <d v="2020-04-12T00:00:00"/>
    <n v="2020"/>
    <x v="3"/>
    <n v="12"/>
    <x v="3"/>
    <x v="73"/>
    <x v="28"/>
    <x v="9"/>
    <x v="15"/>
    <x v="2"/>
    <x v="4"/>
    <x v="29"/>
    <n v="5"/>
    <n v="9050"/>
    <n v="45250"/>
    <s v="delivered"/>
    <s v="Maryjane Joel"/>
    <d v="2020-05-12T00:00:00"/>
    <s v="General Trade"/>
    <x v="0"/>
  </r>
  <r>
    <d v="2020-04-12T00:00:00"/>
    <n v="2020"/>
    <x v="3"/>
    <n v="12"/>
    <x v="3"/>
    <x v="24"/>
    <x v="20"/>
    <x v="8"/>
    <x v="21"/>
    <x v="2"/>
    <x v="10"/>
    <x v="45"/>
    <n v="3"/>
    <n v="3300"/>
    <n v="9900"/>
    <s v="delivered"/>
    <s v="Jessica Williams"/>
    <d v="2020-05-12T00:00:00"/>
    <s v="General Trade"/>
    <x v="0"/>
  </r>
  <r>
    <d v="2020-04-12T00:00:00"/>
    <n v="2020"/>
    <x v="3"/>
    <n v="12"/>
    <x v="3"/>
    <x v="24"/>
    <x v="20"/>
    <x v="2"/>
    <x v="9"/>
    <x v="2"/>
    <x v="4"/>
    <x v="19"/>
    <n v="3"/>
    <n v="9120"/>
    <n v="27360"/>
    <s v="delivered"/>
    <s v="Jessica Williams"/>
    <d v="2020-05-12T00:00:00"/>
    <s v="General Trade"/>
    <x v="0"/>
  </r>
  <r>
    <d v="2020-04-12T00:00:00"/>
    <n v="2020"/>
    <x v="3"/>
    <n v="12"/>
    <x v="3"/>
    <x v="25"/>
    <x v="21"/>
    <x v="11"/>
    <x v="18"/>
    <x v="2"/>
    <x v="8"/>
    <x v="46"/>
    <n v="1"/>
    <n v="2780"/>
    <n v="2780"/>
    <s v="delivered"/>
    <s v="Enny Muktar"/>
    <d v="2020-05-12T00:00:00"/>
    <s v="Wholesale"/>
    <x v="1"/>
  </r>
  <r>
    <d v="2020-04-12T00:00:00"/>
    <n v="2020"/>
    <x v="3"/>
    <n v="12"/>
    <x v="3"/>
    <x v="25"/>
    <x v="21"/>
    <x v="2"/>
    <x v="9"/>
    <x v="2"/>
    <x v="4"/>
    <x v="18"/>
    <n v="1"/>
    <n v="11200"/>
    <n v="11200"/>
    <s v="delivered"/>
    <s v="Enny Muktar"/>
    <d v="2020-05-12T00:00:00"/>
    <s v="Wholesale"/>
    <x v="1"/>
  </r>
  <r>
    <d v="2020-04-12T00:00:00"/>
    <n v="2020"/>
    <x v="3"/>
    <n v="12"/>
    <x v="3"/>
    <x v="25"/>
    <x v="21"/>
    <x v="1"/>
    <x v="13"/>
    <x v="2"/>
    <x v="6"/>
    <x v="32"/>
    <n v="1"/>
    <n v="3750"/>
    <n v="3750"/>
    <s v="delivered"/>
    <s v="Enny Muktar"/>
    <d v="2020-05-12T00:00:00"/>
    <s v="Wholesale"/>
    <x v="1"/>
  </r>
  <r>
    <d v="2020-04-12T00:00:00"/>
    <n v="2020"/>
    <x v="3"/>
    <n v="12"/>
    <x v="3"/>
    <x v="9"/>
    <x v="7"/>
    <x v="9"/>
    <x v="15"/>
    <x v="2"/>
    <x v="4"/>
    <x v="40"/>
    <n v="1"/>
    <n v="11150"/>
    <n v="11150"/>
    <s v="delivered"/>
    <s v="Shainaan Buchi"/>
    <d v="2020-05-12T00:00:00"/>
    <s v="General Trade"/>
    <x v="1"/>
  </r>
  <r>
    <d v="2020-04-12T00:00:00"/>
    <n v="2020"/>
    <x v="3"/>
    <n v="12"/>
    <x v="3"/>
    <x v="9"/>
    <x v="7"/>
    <x v="9"/>
    <x v="15"/>
    <x v="2"/>
    <x v="4"/>
    <x v="29"/>
    <n v="1"/>
    <n v="9050"/>
    <n v="9050"/>
    <s v="delivered"/>
    <s v="Shainaan Buchi"/>
    <d v="2020-05-12T00:00:00"/>
    <s v="General Trade"/>
    <x v="1"/>
  </r>
  <r>
    <d v="2020-04-12T00:00:00"/>
    <n v="2020"/>
    <x v="3"/>
    <n v="12"/>
    <x v="3"/>
    <x v="9"/>
    <x v="7"/>
    <x v="10"/>
    <x v="17"/>
    <x v="2"/>
    <x v="6"/>
    <x v="47"/>
    <n v="1"/>
    <n v="19170"/>
    <n v="19170"/>
    <s v="delivered"/>
    <s v="Shainaan Buchi"/>
    <d v="2020-05-12T00:00:00"/>
    <s v="General Trade"/>
    <x v="1"/>
  </r>
  <r>
    <d v="2020-04-12T00:00:00"/>
    <n v="2020"/>
    <x v="3"/>
    <n v="12"/>
    <x v="3"/>
    <x v="9"/>
    <x v="7"/>
    <x v="10"/>
    <x v="22"/>
    <x v="2"/>
    <x v="6"/>
    <x v="48"/>
    <n v="1"/>
    <n v="23680"/>
    <n v="23680"/>
    <s v="delivered"/>
    <s v="Shainaan Buchi"/>
    <d v="2020-05-12T00:00:00"/>
    <s v="General Trade"/>
    <x v="1"/>
  </r>
  <r>
    <d v="2020-04-12T00:00:00"/>
    <n v="2020"/>
    <x v="3"/>
    <n v="12"/>
    <x v="3"/>
    <x v="9"/>
    <x v="7"/>
    <x v="2"/>
    <x v="9"/>
    <x v="2"/>
    <x v="4"/>
    <x v="18"/>
    <n v="2"/>
    <n v="11200"/>
    <n v="22400"/>
    <s v="delivered"/>
    <s v="Shainaan Buchi"/>
    <d v="2020-05-12T00:00:00"/>
    <s v="General Trade"/>
    <x v="1"/>
  </r>
  <r>
    <d v="2020-04-12T00:00:00"/>
    <n v="2020"/>
    <x v="3"/>
    <n v="12"/>
    <x v="3"/>
    <x v="9"/>
    <x v="7"/>
    <x v="2"/>
    <x v="10"/>
    <x v="2"/>
    <x v="5"/>
    <x v="20"/>
    <n v="1"/>
    <n v="7450"/>
    <n v="7450"/>
    <s v="delivered"/>
    <s v="Shainaan Buchi"/>
    <d v="2020-05-12T00:00:00"/>
    <s v="General Trade"/>
    <x v="2"/>
  </r>
  <r>
    <d v="2020-04-12T00:00:00"/>
    <n v="2020"/>
    <x v="3"/>
    <n v="12"/>
    <x v="3"/>
    <x v="9"/>
    <x v="7"/>
    <x v="2"/>
    <x v="9"/>
    <x v="2"/>
    <x v="4"/>
    <x v="42"/>
    <n v="1"/>
    <n v="13600"/>
    <n v="13600"/>
    <s v="delivered"/>
    <s v="Shainaan Buchi"/>
    <d v="2020-05-12T00:00:00"/>
    <s v="General Trade"/>
    <x v="2"/>
  </r>
  <r>
    <d v="2020-04-12T00:00:00"/>
    <n v="2020"/>
    <x v="3"/>
    <n v="12"/>
    <x v="3"/>
    <x v="9"/>
    <x v="7"/>
    <x v="2"/>
    <x v="23"/>
    <x v="2"/>
    <x v="11"/>
    <x v="49"/>
    <n v="1"/>
    <n v="21200"/>
    <n v="21200"/>
    <s v="delivered"/>
    <s v="Shainaan Buchi"/>
    <d v="2020-05-12T00:00:00"/>
    <s v="General Trade"/>
    <x v="2"/>
  </r>
  <r>
    <d v="2020-04-12T00:00:00"/>
    <n v="2020"/>
    <x v="3"/>
    <n v="12"/>
    <x v="3"/>
    <x v="9"/>
    <x v="7"/>
    <x v="8"/>
    <x v="14"/>
    <x v="2"/>
    <x v="5"/>
    <x v="50"/>
    <n v="2"/>
    <n v="700"/>
    <n v="1400"/>
    <s v="delivered"/>
    <s v="Shainaan Buchi"/>
    <d v="2020-05-12T00:00:00"/>
    <s v="General Trade"/>
    <x v="2"/>
  </r>
  <r>
    <d v="2020-04-12T00:00:00"/>
    <n v="2020"/>
    <x v="3"/>
    <n v="12"/>
    <x v="3"/>
    <x v="9"/>
    <x v="7"/>
    <x v="8"/>
    <x v="14"/>
    <x v="2"/>
    <x v="5"/>
    <x v="51"/>
    <n v="1"/>
    <n v="5900"/>
    <n v="5900"/>
    <s v="delivered"/>
    <s v="Shainaan Buchi"/>
    <d v="2020-05-12T00:00:00"/>
    <s v="General Trade"/>
    <x v="2"/>
  </r>
  <r>
    <d v="2020-04-12T00:00:00"/>
    <n v="2020"/>
    <x v="3"/>
    <n v="12"/>
    <x v="3"/>
    <x v="9"/>
    <x v="7"/>
    <x v="13"/>
    <x v="24"/>
    <x v="2"/>
    <x v="5"/>
    <x v="52"/>
    <n v="1"/>
    <n v="5100"/>
    <n v="5100"/>
    <s v="delivered"/>
    <s v="Shainaan Buchi"/>
    <d v="2020-05-12T00:00:00"/>
    <s v="General Trade"/>
    <x v="2"/>
  </r>
  <r>
    <d v="2020-04-12T00:00:00"/>
    <n v="2020"/>
    <x v="3"/>
    <n v="12"/>
    <x v="3"/>
    <x v="10"/>
    <x v="8"/>
    <x v="12"/>
    <x v="19"/>
    <x v="2"/>
    <x v="9"/>
    <x v="38"/>
    <n v="1"/>
    <n v="14900"/>
    <n v="14900"/>
    <s v="delivered"/>
    <s v="Mary paul"/>
    <d v="2020-06-12T00:00:00"/>
    <s v="General Trade"/>
    <x v="2"/>
  </r>
  <r>
    <d v="2020-04-12T00:00:00"/>
    <n v="2020"/>
    <x v="3"/>
    <n v="12"/>
    <x v="3"/>
    <x v="10"/>
    <x v="8"/>
    <x v="9"/>
    <x v="15"/>
    <x v="2"/>
    <x v="4"/>
    <x v="40"/>
    <n v="3"/>
    <n v="11150"/>
    <n v="33450"/>
    <s v="delivered"/>
    <s v="Mary paul"/>
    <d v="2020-06-12T00:00:00"/>
    <s v="General Trade"/>
    <x v="2"/>
  </r>
  <r>
    <d v="2020-04-12T00:00:00"/>
    <n v="2020"/>
    <x v="3"/>
    <n v="12"/>
    <x v="3"/>
    <x v="10"/>
    <x v="8"/>
    <x v="9"/>
    <x v="15"/>
    <x v="2"/>
    <x v="4"/>
    <x v="29"/>
    <n v="5"/>
    <n v="9050"/>
    <n v="45250"/>
    <s v="delivered"/>
    <s v="Mary paul"/>
    <d v="2020-06-12T00:00:00"/>
    <s v="General Trade"/>
    <x v="2"/>
  </r>
  <r>
    <d v="2020-04-12T00:00:00"/>
    <n v="2020"/>
    <x v="3"/>
    <n v="12"/>
    <x v="3"/>
    <x v="10"/>
    <x v="8"/>
    <x v="13"/>
    <x v="24"/>
    <x v="2"/>
    <x v="5"/>
    <x v="52"/>
    <n v="3"/>
    <n v="5100"/>
    <n v="15300"/>
    <s v="delivered"/>
    <s v="Mary paul"/>
    <d v="2020-06-12T00:00:00"/>
    <s v="General Trade"/>
    <x v="2"/>
  </r>
  <r>
    <d v="2020-04-12T00:00:00"/>
    <n v="2020"/>
    <x v="3"/>
    <n v="12"/>
    <x v="3"/>
    <x v="10"/>
    <x v="8"/>
    <x v="10"/>
    <x v="17"/>
    <x v="2"/>
    <x v="6"/>
    <x v="53"/>
    <n v="3"/>
    <n v="11300"/>
    <n v="33900"/>
    <s v="delivered"/>
    <s v="Mary paul"/>
    <d v="2020-06-12T00:00:00"/>
    <s v="General Trade"/>
    <x v="2"/>
  </r>
  <r>
    <d v="2020-04-12T00:00:00"/>
    <n v="2020"/>
    <x v="3"/>
    <n v="12"/>
    <x v="3"/>
    <x v="10"/>
    <x v="8"/>
    <x v="10"/>
    <x v="17"/>
    <x v="2"/>
    <x v="6"/>
    <x v="31"/>
    <n v="5"/>
    <n v="6500"/>
    <n v="32500"/>
    <s v="delivered"/>
    <s v="Mary paul"/>
    <d v="2020-06-12T00:00:00"/>
    <s v="General Trade"/>
    <x v="1"/>
  </r>
  <r>
    <d v="2020-04-12T00:00:00"/>
    <n v="2020"/>
    <x v="3"/>
    <n v="12"/>
    <x v="3"/>
    <x v="10"/>
    <x v="8"/>
    <x v="10"/>
    <x v="22"/>
    <x v="2"/>
    <x v="6"/>
    <x v="54"/>
    <n v="3"/>
    <n v="11120"/>
    <n v="33360"/>
    <s v="delivered"/>
    <s v="Mary paul"/>
    <d v="2020-06-12T00:00:00"/>
    <s v="General Trade"/>
    <x v="1"/>
  </r>
  <r>
    <d v="2020-04-12T00:00:00"/>
    <n v="2020"/>
    <x v="3"/>
    <n v="12"/>
    <x v="3"/>
    <x v="10"/>
    <x v="8"/>
    <x v="6"/>
    <x v="11"/>
    <x v="2"/>
    <x v="6"/>
    <x v="21"/>
    <n v="2"/>
    <n v="7800"/>
    <n v="15600"/>
    <s v="delivered"/>
    <s v="Mary paul"/>
    <d v="2020-06-12T00:00:00"/>
    <s v="General Trade"/>
    <x v="1"/>
  </r>
  <r>
    <d v="2020-04-12T00:00:00"/>
    <n v="2020"/>
    <x v="3"/>
    <n v="12"/>
    <x v="3"/>
    <x v="10"/>
    <x v="8"/>
    <x v="6"/>
    <x v="11"/>
    <x v="2"/>
    <x v="6"/>
    <x v="34"/>
    <n v="4"/>
    <n v="8500"/>
    <n v="34000"/>
    <s v="delivered"/>
    <s v="Mary paul"/>
    <d v="2020-06-12T00:00:00"/>
    <s v="General Trade"/>
    <x v="1"/>
  </r>
  <r>
    <d v="2020-04-12T00:00:00"/>
    <n v="2020"/>
    <x v="3"/>
    <n v="12"/>
    <x v="3"/>
    <x v="10"/>
    <x v="8"/>
    <x v="6"/>
    <x v="11"/>
    <x v="2"/>
    <x v="6"/>
    <x v="37"/>
    <n v="3"/>
    <n v="6350"/>
    <n v="19050"/>
    <s v="delivered"/>
    <s v="Mary paul"/>
    <d v="2020-06-12T00:00:00"/>
    <s v="General Trade"/>
    <x v="1"/>
  </r>
  <r>
    <d v="2020-04-12T00:00:00"/>
    <n v="2020"/>
    <x v="3"/>
    <n v="12"/>
    <x v="3"/>
    <x v="10"/>
    <x v="8"/>
    <x v="6"/>
    <x v="16"/>
    <x v="2"/>
    <x v="6"/>
    <x v="30"/>
    <n v="1"/>
    <n v="11000"/>
    <n v="11000"/>
    <s v="delivered"/>
    <s v="Mary paul"/>
    <d v="2020-06-12T00:00:00"/>
    <s v="General Trade"/>
    <x v="1"/>
  </r>
  <r>
    <d v="2020-04-12T00:00:00"/>
    <n v="2020"/>
    <x v="3"/>
    <n v="12"/>
    <x v="3"/>
    <x v="10"/>
    <x v="8"/>
    <x v="14"/>
    <x v="25"/>
    <x v="2"/>
    <x v="10"/>
    <x v="55"/>
    <n v="1"/>
    <n v="3680"/>
    <n v="3680"/>
    <s v="delivered"/>
    <s v="Mary paul"/>
    <d v="2020-06-12T00:00:00"/>
    <s v="General Trade"/>
    <x v="1"/>
  </r>
  <r>
    <d v="2020-04-12T00:00:00"/>
    <n v="2020"/>
    <x v="3"/>
    <n v="12"/>
    <x v="3"/>
    <x v="10"/>
    <x v="8"/>
    <x v="14"/>
    <x v="25"/>
    <x v="2"/>
    <x v="10"/>
    <x v="56"/>
    <n v="3"/>
    <n v="1120"/>
    <n v="3360"/>
    <s v="delivered"/>
    <s v="Mary paul"/>
    <d v="2020-06-12T00:00:00"/>
    <s v="General Trade"/>
    <x v="1"/>
  </r>
  <r>
    <d v="2020-04-12T00:00:00"/>
    <n v="2020"/>
    <x v="3"/>
    <n v="12"/>
    <x v="3"/>
    <x v="10"/>
    <x v="8"/>
    <x v="2"/>
    <x v="9"/>
    <x v="2"/>
    <x v="4"/>
    <x v="42"/>
    <n v="3"/>
    <n v="13600"/>
    <n v="40800"/>
    <s v="delivered"/>
    <s v="Mary paul"/>
    <d v="2020-06-12T00:00:00"/>
    <s v="General Trade"/>
    <x v="1"/>
  </r>
  <r>
    <d v="2020-04-12T00:00:00"/>
    <n v="2020"/>
    <x v="3"/>
    <n v="12"/>
    <x v="3"/>
    <x v="10"/>
    <x v="8"/>
    <x v="2"/>
    <x v="9"/>
    <x v="2"/>
    <x v="4"/>
    <x v="18"/>
    <n v="5"/>
    <n v="11200"/>
    <n v="56000"/>
    <s v="delivered"/>
    <s v="Mary paul"/>
    <d v="2020-06-12T00:00:00"/>
    <s v="General Trade"/>
    <x v="1"/>
  </r>
  <r>
    <d v="2020-04-12T00:00:00"/>
    <n v="2020"/>
    <x v="3"/>
    <n v="12"/>
    <x v="3"/>
    <x v="10"/>
    <x v="8"/>
    <x v="1"/>
    <x v="13"/>
    <x v="2"/>
    <x v="6"/>
    <x v="32"/>
    <n v="2"/>
    <n v="3750"/>
    <n v="7500"/>
    <s v="delivered"/>
    <s v="Mary paul"/>
    <d v="2020-06-12T00:00:00"/>
    <s v="General Trade"/>
    <x v="1"/>
  </r>
  <r>
    <d v="2020-04-12T00:00:00"/>
    <n v="2020"/>
    <x v="3"/>
    <n v="12"/>
    <x v="3"/>
    <x v="10"/>
    <x v="8"/>
    <x v="1"/>
    <x v="13"/>
    <x v="2"/>
    <x v="6"/>
    <x v="57"/>
    <n v="4"/>
    <n v="8900"/>
    <n v="35600"/>
    <s v="delivered"/>
    <s v="Mary paul"/>
    <d v="2020-06-12T00:00:00"/>
    <s v="General Trade"/>
    <x v="1"/>
  </r>
  <r>
    <d v="2020-04-12T00:00:00"/>
    <n v="2020"/>
    <x v="3"/>
    <n v="12"/>
    <x v="3"/>
    <x v="10"/>
    <x v="8"/>
    <x v="1"/>
    <x v="20"/>
    <x v="2"/>
    <x v="6"/>
    <x v="44"/>
    <n v="3"/>
    <n v="8800"/>
    <n v="26400"/>
    <s v="delivered"/>
    <s v="Mary paul"/>
    <d v="2020-06-12T00:00:00"/>
    <s v="General Trade"/>
    <x v="1"/>
  </r>
  <r>
    <d v="2020-04-12T00:00:00"/>
    <n v="2020"/>
    <x v="3"/>
    <n v="12"/>
    <x v="3"/>
    <x v="10"/>
    <x v="8"/>
    <x v="8"/>
    <x v="14"/>
    <x v="2"/>
    <x v="5"/>
    <x v="50"/>
    <n v="3"/>
    <n v="700"/>
    <n v="2100"/>
    <s v="delivered"/>
    <s v="Mary paul"/>
    <d v="2020-06-12T00:00:00"/>
    <s v="General Trade"/>
    <x v="1"/>
  </r>
  <r>
    <d v="2020-04-12T00:00:00"/>
    <n v="2020"/>
    <x v="3"/>
    <n v="12"/>
    <x v="3"/>
    <x v="10"/>
    <x v="8"/>
    <x v="8"/>
    <x v="14"/>
    <x v="2"/>
    <x v="5"/>
    <x v="24"/>
    <n v="5"/>
    <n v="2000"/>
    <n v="10000"/>
    <s v="delivered"/>
    <s v="Mary paul"/>
    <d v="2020-06-12T00:00:00"/>
    <s v="General Trade"/>
    <x v="1"/>
  </r>
  <r>
    <d v="2020-04-12T00:00:00"/>
    <n v="2020"/>
    <x v="3"/>
    <n v="12"/>
    <x v="3"/>
    <x v="10"/>
    <x v="8"/>
    <x v="8"/>
    <x v="21"/>
    <x v="2"/>
    <x v="10"/>
    <x v="45"/>
    <n v="1"/>
    <n v="3300"/>
    <n v="3300"/>
    <s v="delivered"/>
    <s v="Mary paul"/>
    <d v="2020-06-12T00:00:00"/>
    <s v="General Trade"/>
    <x v="1"/>
  </r>
  <r>
    <d v="2020-04-12T00:00:00"/>
    <n v="2020"/>
    <x v="3"/>
    <n v="12"/>
    <x v="3"/>
    <x v="10"/>
    <x v="8"/>
    <x v="7"/>
    <x v="12"/>
    <x v="2"/>
    <x v="7"/>
    <x v="22"/>
    <n v="1"/>
    <n v="3000"/>
    <n v="3000"/>
    <s v="delivered"/>
    <s v="Mary paul"/>
    <d v="2020-06-12T00:00:00"/>
    <s v="General Trade"/>
    <x v="1"/>
  </r>
  <r>
    <d v="2020-04-12T00:00:00"/>
    <n v="2020"/>
    <x v="3"/>
    <n v="12"/>
    <x v="3"/>
    <x v="10"/>
    <x v="8"/>
    <x v="7"/>
    <x v="12"/>
    <x v="2"/>
    <x v="7"/>
    <x v="25"/>
    <n v="1"/>
    <n v="3000"/>
    <n v="3000"/>
    <s v="delivered"/>
    <s v="Mary paul"/>
    <d v="2020-06-12T00:00:00"/>
    <s v="General Trade"/>
    <x v="1"/>
  </r>
  <r>
    <d v="2020-05-12T00:00:00"/>
    <n v="2020"/>
    <x v="4"/>
    <n v="12"/>
    <x v="4"/>
    <x v="74"/>
    <x v="48"/>
    <x v="10"/>
    <x v="22"/>
    <x v="2"/>
    <x v="6"/>
    <x v="48"/>
    <n v="1"/>
    <n v="23680"/>
    <n v="23680"/>
    <s v="delivered"/>
    <s v="Ofegha Toluwalase"/>
    <d v="2020-07-12T00:00:00"/>
    <s v="General Trade"/>
    <x v="0"/>
  </r>
  <r>
    <d v="2020-05-12T00:00:00"/>
    <n v="2020"/>
    <x v="4"/>
    <n v="12"/>
    <x v="4"/>
    <x v="75"/>
    <x v="0"/>
    <x v="11"/>
    <x v="18"/>
    <x v="2"/>
    <x v="8"/>
    <x v="58"/>
    <n v="50"/>
    <n v="2080"/>
    <n v="104000"/>
    <s v="delivered"/>
    <s v="Maryjane Joel"/>
    <d v="2020-07-12T00:00:00"/>
    <s v="General Trade"/>
    <x v="0"/>
  </r>
  <r>
    <d v="2020-05-12T00:00:00"/>
    <n v="2020"/>
    <x v="4"/>
    <n v="12"/>
    <x v="4"/>
    <x v="76"/>
    <x v="49"/>
    <x v="11"/>
    <x v="18"/>
    <x v="2"/>
    <x v="8"/>
    <x v="58"/>
    <n v="15"/>
    <n v="2080"/>
    <n v="31200"/>
    <s v="delivered"/>
    <s v="Ameerah Utibeabasi"/>
    <d v="2020-07-12T00:00:00"/>
    <s v="General Trade"/>
    <x v="0"/>
  </r>
  <r>
    <d v="2020-05-12T00:00:00"/>
    <n v="2020"/>
    <x v="4"/>
    <n v="12"/>
    <x v="4"/>
    <x v="77"/>
    <x v="50"/>
    <x v="2"/>
    <x v="9"/>
    <x v="2"/>
    <x v="4"/>
    <x v="19"/>
    <n v="1"/>
    <n v="9120"/>
    <n v="9120"/>
    <s v="delivered"/>
    <s v="benita Alvin"/>
    <d v="2020-07-12T00:00:00"/>
    <s v="General Trade"/>
    <x v="0"/>
  </r>
  <r>
    <d v="2020-05-12T00:00:00"/>
    <n v="2020"/>
    <x v="4"/>
    <n v="12"/>
    <x v="4"/>
    <x v="78"/>
    <x v="51"/>
    <x v="2"/>
    <x v="9"/>
    <x v="2"/>
    <x v="4"/>
    <x v="19"/>
    <n v="10"/>
    <n v="9120"/>
    <n v="91200"/>
    <s v="delivered"/>
    <s v="Kenny Akinola"/>
    <d v="2020-07-12T00:00:00"/>
    <s v="General Trade"/>
    <x v="0"/>
  </r>
  <r>
    <d v="2020-06-12T00:00:00"/>
    <n v="2020"/>
    <x v="9"/>
    <n v="12"/>
    <x v="9"/>
    <x v="79"/>
    <x v="51"/>
    <x v="1"/>
    <x v="13"/>
    <x v="2"/>
    <x v="6"/>
    <x v="57"/>
    <n v="4"/>
    <n v="8900"/>
    <n v="35600"/>
    <s v="delivered"/>
    <s v="Kenny Akinola"/>
    <d v="2020-07-12T00:00:00"/>
    <s v="General Trade"/>
    <x v="0"/>
  </r>
  <r>
    <d v="2020-04-12T00:00:00"/>
    <n v="2020"/>
    <x v="3"/>
    <n v="12"/>
    <x v="3"/>
    <x v="80"/>
    <x v="52"/>
    <x v="2"/>
    <x v="10"/>
    <x v="2"/>
    <x v="5"/>
    <x v="20"/>
    <n v="1"/>
    <n v="7450"/>
    <n v="7450"/>
    <s v="delivered"/>
    <s v="Ashimedua Godson"/>
    <d v="2020-07-12T00:00:00"/>
    <s v="General Trade"/>
    <x v="1"/>
  </r>
  <r>
    <d v="2020-04-12T00:00:00"/>
    <n v="2020"/>
    <x v="3"/>
    <n v="12"/>
    <x v="3"/>
    <x v="80"/>
    <x v="52"/>
    <x v="2"/>
    <x v="9"/>
    <x v="2"/>
    <x v="4"/>
    <x v="18"/>
    <n v="1"/>
    <n v="11200"/>
    <n v="11200"/>
    <s v="delivered"/>
    <s v="Ashimedua Godson"/>
    <d v="2020-07-12T00:00:00"/>
    <s v="General Trade"/>
    <x v="1"/>
  </r>
  <r>
    <d v="2020-04-12T00:00:00"/>
    <n v="2020"/>
    <x v="3"/>
    <n v="12"/>
    <x v="3"/>
    <x v="80"/>
    <x v="52"/>
    <x v="8"/>
    <x v="14"/>
    <x v="2"/>
    <x v="5"/>
    <x v="51"/>
    <n v="1"/>
    <n v="5900"/>
    <n v="5900"/>
    <s v="delivered"/>
    <s v="Ashimedua Godson"/>
    <d v="2020-07-12T00:00:00"/>
    <s v="General Trade"/>
    <x v="1"/>
  </r>
  <r>
    <d v="2020-04-12T00:00:00"/>
    <n v="2020"/>
    <x v="3"/>
    <n v="12"/>
    <x v="3"/>
    <x v="80"/>
    <x v="52"/>
    <x v="8"/>
    <x v="14"/>
    <x v="2"/>
    <x v="5"/>
    <x v="24"/>
    <n v="1"/>
    <n v="2000"/>
    <n v="2000"/>
    <s v="delivered"/>
    <s v="Ashimedua Godson"/>
    <d v="2020-07-12T00:00:00"/>
    <s v="General Trade"/>
    <x v="1"/>
  </r>
  <r>
    <d v="2020-05-12T00:00:00"/>
    <n v="2020"/>
    <x v="4"/>
    <n v="12"/>
    <x v="4"/>
    <x v="81"/>
    <x v="28"/>
    <x v="8"/>
    <x v="14"/>
    <x v="2"/>
    <x v="5"/>
    <x v="24"/>
    <n v="10"/>
    <n v="2000"/>
    <n v="20000"/>
    <s v="delivered"/>
    <s v="Esther Victor"/>
    <d v="2020-07-12T00:00:00"/>
    <s v="General Trade"/>
    <x v="0"/>
  </r>
  <r>
    <d v="2020-05-12T00:00:00"/>
    <n v="2020"/>
    <x v="4"/>
    <n v="12"/>
    <x v="4"/>
    <x v="81"/>
    <x v="28"/>
    <x v="8"/>
    <x v="14"/>
    <x v="2"/>
    <x v="5"/>
    <x v="59"/>
    <n v="2"/>
    <n v="6100"/>
    <n v="12200"/>
    <s v="delivered"/>
    <s v="Esther Victor"/>
    <d v="2020-07-12T00:00:00"/>
    <s v="General Trade"/>
    <x v="0"/>
  </r>
  <r>
    <d v="2020-05-12T00:00:00"/>
    <n v="2020"/>
    <x v="4"/>
    <n v="12"/>
    <x v="4"/>
    <x v="81"/>
    <x v="28"/>
    <x v="8"/>
    <x v="14"/>
    <x v="2"/>
    <x v="5"/>
    <x v="51"/>
    <n v="3"/>
    <n v="5900"/>
    <n v="17700"/>
    <s v="delivered"/>
    <s v="Esther Victor"/>
    <d v="2020-07-12T00:00:00"/>
    <s v="General Trade"/>
    <x v="0"/>
  </r>
  <r>
    <d v="2020-06-12T00:00:00"/>
    <n v="2020"/>
    <x v="9"/>
    <n v="12"/>
    <x v="9"/>
    <x v="82"/>
    <x v="22"/>
    <x v="2"/>
    <x v="9"/>
    <x v="2"/>
    <x v="4"/>
    <x v="43"/>
    <n v="1"/>
    <n v="16500"/>
    <n v="16500"/>
    <s v="delivered"/>
    <s v="Ralia Okwuchukwu"/>
    <d v="2020-07-12T00:00:00"/>
    <s v="Wholesale"/>
    <x v="0"/>
  </r>
  <r>
    <d v="2020-06-12T00:00:00"/>
    <n v="2020"/>
    <x v="9"/>
    <n v="12"/>
    <x v="9"/>
    <x v="82"/>
    <x v="22"/>
    <x v="13"/>
    <x v="24"/>
    <x v="2"/>
    <x v="5"/>
    <x v="52"/>
    <n v="1"/>
    <n v="5100"/>
    <n v="5100"/>
    <s v="delivered"/>
    <s v="Ralia Okwuchukwu"/>
    <d v="2020-07-12T00:00:00"/>
    <s v="Wholesale"/>
    <x v="0"/>
  </r>
  <r>
    <d v="2020-06-12T00:00:00"/>
    <n v="2020"/>
    <x v="9"/>
    <n v="12"/>
    <x v="9"/>
    <x v="26"/>
    <x v="22"/>
    <x v="2"/>
    <x v="9"/>
    <x v="2"/>
    <x v="4"/>
    <x v="42"/>
    <n v="1"/>
    <n v="13600"/>
    <n v="13600"/>
    <s v="delivered"/>
    <s v="Ralia Okwuchukwu"/>
    <d v="2020-07-12T00:00:00"/>
    <s v="Wholesale"/>
    <x v="0"/>
  </r>
  <r>
    <d v="2020-06-12T00:00:00"/>
    <n v="2020"/>
    <x v="9"/>
    <n v="12"/>
    <x v="9"/>
    <x v="26"/>
    <x v="22"/>
    <x v="2"/>
    <x v="9"/>
    <x v="2"/>
    <x v="4"/>
    <x v="19"/>
    <n v="2"/>
    <n v="9120"/>
    <n v="18240"/>
    <s v="delivered"/>
    <s v="Ralia Okwuchukwu"/>
    <d v="2020-07-12T00:00:00"/>
    <s v="Wholesale"/>
    <x v="0"/>
  </r>
  <r>
    <d v="2020-05-12T00:00:00"/>
    <n v="2020"/>
    <x v="4"/>
    <n v="12"/>
    <x v="4"/>
    <x v="83"/>
    <x v="53"/>
    <x v="6"/>
    <x v="11"/>
    <x v="2"/>
    <x v="6"/>
    <x v="21"/>
    <n v="1"/>
    <n v="7800"/>
    <n v="7800"/>
    <s v="delivered"/>
    <s v="Amala AMAECHI"/>
    <d v="2020-07-12T00:00:00"/>
    <s v="General Trade"/>
    <x v="1"/>
  </r>
  <r>
    <d v="2020-05-12T00:00:00"/>
    <n v="2020"/>
    <x v="4"/>
    <n v="12"/>
    <x v="4"/>
    <x v="83"/>
    <x v="53"/>
    <x v="2"/>
    <x v="9"/>
    <x v="2"/>
    <x v="4"/>
    <x v="18"/>
    <n v="1"/>
    <n v="11200"/>
    <n v="11200"/>
    <s v="delivered"/>
    <s v="Amala AMAECHI"/>
    <d v="2020-07-12T00:00:00"/>
    <s v="General Trade"/>
    <x v="1"/>
  </r>
  <r>
    <d v="2020-05-12T00:00:00"/>
    <n v="2020"/>
    <x v="4"/>
    <n v="12"/>
    <x v="4"/>
    <x v="83"/>
    <x v="53"/>
    <x v="8"/>
    <x v="14"/>
    <x v="2"/>
    <x v="5"/>
    <x v="24"/>
    <n v="2"/>
    <n v="2000"/>
    <n v="4000"/>
    <s v="delivered"/>
    <s v="Amala AMAECHI"/>
    <d v="2020-07-12T00:00:00"/>
    <s v="General Trade"/>
    <x v="1"/>
  </r>
  <r>
    <d v="2020-04-12T00:00:00"/>
    <n v="2020"/>
    <x v="3"/>
    <n v="12"/>
    <x v="3"/>
    <x v="84"/>
    <x v="25"/>
    <x v="2"/>
    <x v="9"/>
    <x v="2"/>
    <x v="4"/>
    <x v="19"/>
    <n v="10"/>
    <n v="9120"/>
    <n v="91200"/>
    <s v="delivered"/>
    <s v="rosemary Goodluck"/>
    <d v="2020-07-12T00:00:00"/>
    <s v="Wholesale"/>
    <x v="0"/>
  </r>
  <r>
    <d v="2020-05-12T00:00:00"/>
    <n v="2020"/>
    <x v="4"/>
    <n v="12"/>
    <x v="4"/>
    <x v="11"/>
    <x v="9"/>
    <x v="11"/>
    <x v="18"/>
    <x v="2"/>
    <x v="8"/>
    <x v="60"/>
    <n v="3"/>
    <n v="3180"/>
    <n v="9540"/>
    <s v="delivered"/>
    <s v="sharon Walter"/>
    <d v="2020-08-12T00:00:00"/>
    <s v="General Trade"/>
    <x v="1"/>
  </r>
  <r>
    <d v="2020-05-12T00:00:00"/>
    <n v="2020"/>
    <x v="4"/>
    <n v="12"/>
    <x v="4"/>
    <x v="11"/>
    <x v="9"/>
    <x v="10"/>
    <x v="17"/>
    <x v="2"/>
    <x v="6"/>
    <x v="31"/>
    <n v="1"/>
    <n v="6500"/>
    <n v="6500"/>
    <s v="delivered"/>
    <s v="sharon Walter"/>
    <d v="2020-08-12T00:00:00"/>
    <s v="General Trade"/>
    <x v="1"/>
  </r>
  <r>
    <d v="2020-07-12T00:00:00"/>
    <n v="2020"/>
    <x v="5"/>
    <n v="12"/>
    <x v="5"/>
    <x v="85"/>
    <x v="54"/>
    <x v="2"/>
    <x v="9"/>
    <x v="2"/>
    <x v="4"/>
    <x v="19"/>
    <n v="4"/>
    <n v="9120"/>
    <n v="36480"/>
    <s v="delivered"/>
    <s v="Rose kelvin"/>
    <d v="2020-08-12T00:00:00"/>
    <s v="General Trade"/>
    <x v="1"/>
  </r>
  <r>
    <d v="2020-07-12T00:00:00"/>
    <n v="2020"/>
    <x v="5"/>
    <n v="12"/>
    <x v="5"/>
    <x v="86"/>
    <x v="54"/>
    <x v="10"/>
    <x v="17"/>
    <x v="2"/>
    <x v="6"/>
    <x v="33"/>
    <n v="3"/>
    <n v="6750"/>
    <n v="20250"/>
    <s v="delivered"/>
    <s v="Rose kelvin"/>
    <d v="2020-08-12T00:00:00"/>
    <s v="General Trade"/>
    <x v="1"/>
  </r>
  <r>
    <d v="2020-07-12T00:00:00"/>
    <n v="2020"/>
    <x v="5"/>
    <n v="12"/>
    <x v="5"/>
    <x v="27"/>
    <x v="23"/>
    <x v="6"/>
    <x v="11"/>
    <x v="2"/>
    <x v="6"/>
    <x v="21"/>
    <n v="1"/>
    <n v="7800"/>
    <n v="7800"/>
    <s v="delivered"/>
    <s v="chinelo Isaac"/>
    <d v="2020-08-12T00:00:00"/>
    <s v="General Trade"/>
    <x v="1"/>
  </r>
  <r>
    <d v="2020-07-12T00:00:00"/>
    <n v="2020"/>
    <x v="5"/>
    <n v="12"/>
    <x v="5"/>
    <x v="27"/>
    <x v="23"/>
    <x v="6"/>
    <x v="11"/>
    <x v="2"/>
    <x v="6"/>
    <x v="34"/>
    <n v="1"/>
    <n v="8500"/>
    <n v="8500"/>
    <s v="delivered"/>
    <s v="chinelo Isaac"/>
    <d v="2020-08-12T00:00:00"/>
    <s v="General Trade"/>
    <x v="1"/>
  </r>
  <r>
    <d v="2020-07-12T00:00:00"/>
    <n v="2020"/>
    <x v="5"/>
    <n v="12"/>
    <x v="5"/>
    <x v="27"/>
    <x v="23"/>
    <x v="2"/>
    <x v="9"/>
    <x v="2"/>
    <x v="4"/>
    <x v="19"/>
    <n v="1"/>
    <n v="9120"/>
    <n v="9120"/>
    <s v="delivered"/>
    <s v="chinelo Isaac"/>
    <d v="2020-08-12T00:00:00"/>
    <s v="General Trade"/>
    <x v="2"/>
  </r>
  <r>
    <d v="2020-07-12T00:00:00"/>
    <n v="2020"/>
    <x v="5"/>
    <n v="12"/>
    <x v="5"/>
    <x v="87"/>
    <x v="55"/>
    <x v="2"/>
    <x v="9"/>
    <x v="2"/>
    <x v="4"/>
    <x v="19"/>
    <n v="1"/>
    <n v="9120"/>
    <n v="9120"/>
    <s v="delivered"/>
    <s v="Rose kelvin"/>
    <d v="2020-08-12T00:00:00"/>
    <s v="General Trade"/>
    <x v="2"/>
  </r>
  <r>
    <d v="2020-07-12T00:00:00"/>
    <n v="2020"/>
    <x v="5"/>
    <n v="12"/>
    <x v="5"/>
    <x v="88"/>
    <x v="56"/>
    <x v="2"/>
    <x v="10"/>
    <x v="2"/>
    <x v="5"/>
    <x v="61"/>
    <n v="2"/>
    <n v="7450"/>
    <n v="14900"/>
    <s v="delivered"/>
    <s v="Rita uche"/>
    <d v="2020-08-12T00:00:00"/>
    <s v="General Trade"/>
    <x v="2"/>
  </r>
  <r>
    <d v="2020-07-12T00:00:00"/>
    <n v="2020"/>
    <x v="5"/>
    <n v="12"/>
    <x v="5"/>
    <x v="88"/>
    <x v="56"/>
    <x v="2"/>
    <x v="10"/>
    <x v="2"/>
    <x v="5"/>
    <x v="20"/>
    <n v="2"/>
    <n v="7450"/>
    <n v="14900"/>
    <s v="delivered"/>
    <s v="Rita uche"/>
    <d v="2020-08-12T00:00:00"/>
    <s v="General Trade"/>
    <x v="2"/>
  </r>
  <r>
    <d v="2020-07-12T00:00:00"/>
    <n v="2020"/>
    <x v="5"/>
    <n v="12"/>
    <x v="5"/>
    <x v="88"/>
    <x v="56"/>
    <x v="2"/>
    <x v="9"/>
    <x v="2"/>
    <x v="4"/>
    <x v="19"/>
    <n v="2"/>
    <n v="9120"/>
    <n v="18240"/>
    <s v="delivered"/>
    <s v="Rita uche"/>
    <d v="2020-08-12T00:00:00"/>
    <s v="General Trade"/>
    <x v="2"/>
  </r>
  <r>
    <d v="2020-07-12T00:00:00"/>
    <n v="2020"/>
    <x v="5"/>
    <n v="12"/>
    <x v="5"/>
    <x v="88"/>
    <x v="56"/>
    <x v="1"/>
    <x v="13"/>
    <x v="2"/>
    <x v="6"/>
    <x v="57"/>
    <n v="1"/>
    <n v="8900"/>
    <n v="8900"/>
    <s v="delivered"/>
    <s v="Rita uche"/>
    <d v="2020-08-12T00:00:00"/>
    <s v="General Trade"/>
    <x v="2"/>
  </r>
  <r>
    <d v="2020-07-12T00:00:00"/>
    <n v="2020"/>
    <x v="5"/>
    <n v="12"/>
    <x v="5"/>
    <x v="89"/>
    <x v="57"/>
    <x v="15"/>
    <x v="26"/>
    <x v="2"/>
    <x v="9"/>
    <x v="62"/>
    <n v="1"/>
    <n v="1500"/>
    <n v="1500"/>
    <s v="delivered"/>
    <s v="Chinwe Emmy"/>
    <d v="2020-08-12T00:00:00"/>
    <s v="General Trade"/>
    <x v="2"/>
  </r>
  <r>
    <d v="2020-07-12T00:00:00"/>
    <n v="2020"/>
    <x v="5"/>
    <n v="12"/>
    <x v="5"/>
    <x v="89"/>
    <x v="57"/>
    <x v="15"/>
    <x v="26"/>
    <x v="2"/>
    <x v="9"/>
    <x v="63"/>
    <n v="1"/>
    <n v="1"/>
    <n v="1"/>
    <s v="delivered"/>
    <s v="Chinwe Emmy"/>
    <d v="2020-08-12T00:00:00"/>
    <s v="General Trade"/>
    <x v="2"/>
  </r>
  <r>
    <d v="2020-07-12T00:00:00"/>
    <n v="2020"/>
    <x v="5"/>
    <n v="12"/>
    <x v="5"/>
    <x v="90"/>
    <x v="58"/>
    <x v="15"/>
    <x v="26"/>
    <x v="2"/>
    <x v="9"/>
    <x v="62"/>
    <n v="1"/>
    <n v="1500"/>
    <n v="1500"/>
    <s v="delivered"/>
    <s v="Alma Aliyu"/>
    <d v="2020-08-12T00:00:00"/>
    <s v="General Trade"/>
    <x v="2"/>
  </r>
  <r>
    <d v="2020-07-12T00:00:00"/>
    <n v="2020"/>
    <x v="5"/>
    <n v="12"/>
    <x v="5"/>
    <x v="91"/>
    <x v="59"/>
    <x v="15"/>
    <x v="26"/>
    <x v="2"/>
    <x v="9"/>
    <x v="62"/>
    <n v="1"/>
    <n v="1500"/>
    <n v="1500"/>
    <s v="delivered"/>
    <s v="Perfect MASTER LIGHT"/>
    <d v="2020-08-12T00:00:00"/>
    <s v="General Trade"/>
    <x v="2"/>
  </r>
  <r>
    <d v="2020-07-12T00:00:00"/>
    <n v="2020"/>
    <x v="5"/>
    <n v="12"/>
    <x v="5"/>
    <x v="92"/>
    <x v="60"/>
    <x v="15"/>
    <x v="26"/>
    <x v="2"/>
    <x v="9"/>
    <x v="62"/>
    <n v="1"/>
    <n v="1500"/>
    <n v="1500"/>
    <s v="delivered"/>
    <s v="Chidera Aye"/>
    <d v="2020-08-12T00:00:00"/>
    <s v="General Trade"/>
    <x v="2"/>
  </r>
  <r>
    <d v="2020-07-12T00:00:00"/>
    <n v="2020"/>
    <x v="5"/>
    <n v="12"/>
    <x v="5"/>
    <x v="93"/>
    <x v="42"/>
    <x v="2"/>
    <x v="10"/>
    <x v="2"/>
    <x v="5"/>
    <x v="20"/>
    <n v="5"/>
    <n v="7450"/>
    <n v="37250"/>
    <s v="delivered"/>
    <s v="Abisoye Simon"/>
    <d v="2020-08-12T00:00:00"/>
    <s v="General Trade"/>
    <x v="1"/>
  </r>
  <r>
    <d v="2020-07-12T00:00:00"/>
    <n v="2020"/>
    <x v="5"/>
    <n v="12"/>
    <x v="5"/>
    <x v="93"/>
    <x v="42"/>
    <x v="6"/>
    <x v="11"/>
    <x v="2"/>
    <x v="6"/>
    <x v="21"/>
    <n v="3"/>
    <n v="7800"/>
    <n v="23400"/>
    <s v="delivered"/>
    <s v="Abisoye Simon"/>
    <d v="2020-08-12T00:00:00"/>
    <s v="General Trade"/>
    <x v="1"/>
  </r>
  <r>
    <d v="2020-07-12T00:00:00"/>
    <n v="2020"/>
    <x v="5"/>
    <n v="12"/>
    <x v="5"/>
    <x v="13"/>
    <x v="10"/>
    <x v="2"/>
    <x v="9"/>
    <x v="2"/>
    <x v="4"/>
    <x v="28"/>
    <n v="1"/>
    <n v="10050"/>
    <n v="10050"/>
    <s v="delivered"/>
    <s v="Nwando Godwin"/>
    <d v="2020-08-12T00:00:00"/>
    <s v="General Trade"/>
    <x v="0"/>
  </r>
  <r>
    <d v="2020-07-12T00:00:00"/>
    <n v="2020"/>
    <x v="5"/>
    <n v="12"/>
    <x v="5"/>
    <x v="13"/>
    <x v="10"/>
    <x v="2"/>
    <x v="9"/>
    <x v="2"/>
    <x v="4"/>
    <x v="19"/>
    <n v="2"/>
    <n v="9120"/>
    <n v="18240"/>
    <s v="delivered"/>
    <s v="Nwando Godwin"/>
    <d v="2020-08-12T00:00:00"/>
    <s v="General Trade"/>
    <x v="0"/>
  </r>
  <r>
    <d v="2020-07-12T00:00:00"/>
    <n v="2020"/>
    <x v="5"/>
    <n v="12"/>
    <x v="5"/>
    <x v="13"/>
    <x v="10"/>
    <x v="10"/>
    <x v="22"/>
    <x v="2"/>
    <x v="6"/>
    <x v="54"/>
    <n v="1"/>
    <n v="11120"/>
    <n v="11120"/>
    <s v="delivered"/>
    <s v="Nwando Godwin"/>
    <d v="2020-08-12T00:00:00"/>
    <s v="General Trade"/>
    <x v="0"/>
  </r>
  <r>
    <d v="2020-07-12T00:00:00"/>
    <n v="2020"/>
    <x v="5"/>
    <n v="12"/>
    <x v="5"/>
    <x v="13"/>
    <x v="10"/>
    <x v="1"/>
    <x v="13"/>
    <x v="2"/>
    <x v="6"/>
    <x v="32"/>
    <n v="1"/>
    <n v="3750"/>
    <n v="3750"/>
    <s v="delivered"/>
    <s v="Nwando Godwin"/>
    <d v="2020-08-12T00:00:00"/>
    <s v="General Trade"/>
    <x v="0"/>
  </r>
  <r>
    <d v="2020-07-12T00:00:00"/>
    <n v="2020"/>
    <x v="5"/>
    <n v="12"/>
    <x v="5"/>
    <x v="13"/>
    <x v="10"/>
    <x v="5"/>
    <x v="27"/>
    <x v="2"/>
    <x v="12"/>
    <x v="64"/>
    <n v="1"/>
    <n v="7500"/>
    <n v="7500"/>
    <s v="delivered"/>
    <s v="Nwando Godwin"/>
    <d v="2020-08-12T00:00:00"/>
    <s v="General Trade"/>
    <x v="0"/>
  </r>
  <r>
    <d v="2020-07-12T00:00:00"/>
    <n v="2020"/>
    <x v="5"/>
    <n v="12"/>
    <x v="5"/>
    <x v="94"/>
    <x v="28"/>
    <x v="1"/>
    <x v="13"/>
    <x v="2"/>
    <x v="6"/>
    <x v="32"/>
    <n v="5"/>
    <n v="3750"/>
    <n v="18750"/>
    <s v="delivered"/>
    <s v="Esther Victor"/>
    <d v="2020-08-12T00:00:00"/>
    <s v="General Trade"/>
    <x v="0"/>
  </r>
  <r>
    <d v="2020-07-12T00:00:00"/>
    <n v="2020"/>
    <x v="5"/>
    <n v="12"/>
    <x v="5"/>
    <x v="94"/>
    <x v="28"/>
    <x v="11"/>
    <x v="18"/>
    <x v="2"/>
    <x v="8"/>
    <x v="60"/>
    <n v="10"/>
    <n v="3180"/>
    <n v="31800"/>
    <s v="delivered"/>
    <s v="Esther Victor"/>
    <d v="2020-08-12T00:00:00"/>
    <s v="General Trade"/>
    <x v="0"/>
  </r>
  <r>
    <d v="2020-07-12T00:00:00"/>
    <n v="2020"/>
    <x v="5"/>
    <n v="12"/>
    <x v="5"/>
    <x v="95"/>
    <x v="27"/>
    <x v="2"/>
    <x v="10"/>
    <x v="2"/>
    <x v="5"/>
    <x v="61"/>
    <n v="1"/>
    <n v="7450"/>
    <n v="7450"/>
    <s v="delivered"/>
    <s v="Jennifer stephen"/>
    <d v="2020-08-12T00:00:00"/>
    <s v="General Trade"/>
    <x v="2"/>
  </r>
  <r>
    <d v="2020-07-12T00:00:00"/>
    <n v="2020"/>
    <x v="5"/>
    <n v="12"/>
    <x v="5"/>
    <x v="95"/>
    <x v="27"/>
    <x v="2"/>
    <x v="9"/>
    <x v="2"/>
    <x v="4"/>
    <x v="28"/>
    <n v="1"/>
    <n v="10050"/>
    <n v="10050"/>
    <s v="delivered"/>
    <s v="Jennifer stephen"/>
    <d v="2020-08-12T00:00:00"/>
    <s v="General Trade"/>
    <x v="2"/>
  </r>
  <r>
    <d v="2020-07-12T00:00:00"/>
    <n v="2020"/>
    <x v="5"/>
    <n v="12"/>
    <x v="5"/>
    <x v="95"/>
    <x v="27"/>
    <x v="2"/>
    <x v="9"/>
    <x v="2"/>
    <x v="4"/>
    <x v="19"/>
    <n v="1"/>
    <n v="9120"/>
    <n v="9120"/>
    <s v="delivered"/>
    <s v="Jennifer stephen"/>
    <d v="2020-08-12T00:00:00"/>
    <s v="General Trade"/>
    <x v="2"/>
  </r>
  <r>
    <d v="2020-07-12T00:00:00"/>
    <n v="2020"/>
    <x v="5"/>
    <n v="12"/>
    <x v="5"/>
    <x v="95"/>
    <x v="27"/>
    <x v="11"/>
    <x v="18"/>
    <x v="2"/>
    <x v="8"/>
    <x v="46"/>
    <n v="2"/>
    <n v="2780"/>
    <n v="5560"/>
    <s v="delivered"/>
    <s v="Jennifer stephen"/>
    <d v="2020-08-12T00:00:00"/>
    <s v="General Trade"/>
    <x v="2"/>
  </r>
  <r>
    <d v="2020-04-12T00:00:00"/>
    <n v="2020"/>
    <x v="3"/>
    <n v="12"/>
    <x v="3"/>
    <x v="28"/>
    <x v="24"/>
    <x v="7"/>
    <x v="12"/>
    <x v="2"/>
    <x v="7"/>
    <x v="25"/>
    <n v="1"/>
    <n v="3000"/>
    <n v="3000"/>
    <s v="delivered"/>
    <s v="mercy Peter"/>
    <d v="2020-08-12T00:00:00"/>
    <s v="General Trade"/>
    <x v="2"/>
  </r>
  <r>
    <d v="2020-04-12T00:00:00"/>
    <n v="2020"/>
    <x v="3"/>
    <n v="12"/>
    <x v="3"/>
    <x v="28"/>
    <x v="24"/>
    <x v="13"/>
    <x v="24"/>
    <x v="2"/>
    <x v="5"/>
    <x v="52"/>
    <n v="1"/>
    <n v="5100"/>
    <n v="5100"/>
    <s v="delivered"/>
    <s v="mercy Peter"/>
    <d v="2020-08-12T00:00:00"/>
    <s v="General Trade"/>
    <x v="2"/>
  </r>
  <r>
    <d v="2020-07-12T00:00:00"/>
    <n v="2020"/>
    <x v="5"/>
    <n v="12"/>
    <x v="5"/>
    <x v="14"/>
    <x v="11"/>
    <x v="2"/>
    <x v="9"/>
    <x v="2"/>
    <x v="4"/>
    <x v="19"/>
    <n v="1"/>
    <n v="9120"/>
    <n v="9120"/>
    <s v="delivered"/>
    <s v="Stephen Progress"/>
    <d v="2020-08-12T00:00:00"/>
    <s v="General Trade"/>
    <x v="2"/>
  </r>
  <r>
    <d v="2020-07-12T00:00:00"/>
    <n v="2020"/>
    <x v="5"/>
    <n v="12"/>
    <x v="5"/>
    <x v="14"/>
    <x v="11"/>
    <x v="1"/>
    <x v="13"/>
    <x v="2"/>
    <x v="6"/>
    <x v="32"/>
    <n v="1"/>
    <n v="3750"/>
    <n v="3750"/>
    <s v="delivered"/>
    <s v="Stephen Progress"/>
    <d v="2020-08-12T00:00:00"/>
    <s v="General Trade"/>
    <x v="2"/>
  </r>
  <r>
    <d v="2020-07-12T00:00:00"/>
    <n v="2020"/>
    <x v="5"/>
    <n v="12"/>
    <x v="5"/>
    <x v="14"/>
    <x v="11"/>
    <x v="10"/>
    <x v="17"/>
    <x v="2"/>
    <x v="6"/>
    <x v="33"/>
    <n v="1"/>
    <n v="6750"/>
    <n v="6750"/>
    <s v="delivered"/>
    <s v="Stephen Progress"/>
    <d v="2020-08-12T00:00:00"/>
    <s v="General Trade"/>
    <x v="2"/>
  </r>
  <r>
    <d v="2020-08-12T00:00:00"/>
    <n v="2020"/>
    <x v="10"/>
    <n v="12"/>
    <x v="10"/>
    <x v="96"/>
    <x v="61"/>
    <x v="2"/>
    <x v="9"/>
    <x v="2"/>
    <x v="4"/>
    <x v="18"/>
    <n v="1"/>
    <n v="11200"/>
    <n v="11200"/>
    <s v="delivered"/>
    <s v="Enny Muktar"/>
    <d v="2020-09-12T00:00:00"/>
    <s v="General Trade"/>
    <x v="2"/>
  </r>
  <r>
    <d v="2020-08-12T00:00:00"/>
    <n v="2020"/>
    <x v="10"/>
    <n v="12"/>
    <x v="10"/>
    <x v="96"/>
    <x v="61"/>
    <x v="2"/>
    <x v="10"/>
    <x v="2"/>
    <x v="5"/>
    <x v="61"/>
    <n v="1"/>
    <n v="7450"/>
    <n v="7450"/>
    <s v="delivered"/>
    <s v="Enny Muktar"/>
    <d v="2020-09-12T00:00:00"/>
    <s v="General Trade"/>
    <x v="2"/>
  </r>
  <r>
    <d v="2020-08-12T00:00:00"/>
    <n v="2020"/>
    <x v="10"/>
    <n v="12"/>
    <x v="10"/>
    <x v="96"/>
    <x v="61"/>
    <x v="8"/>
    <x v="14"/>
    <x v="2"/>
    <x v="5"/>
    <x v="51"/>
    <n v="1"/>
    <n v="5900"/>
    <n v="5900"/>
    <s v="delivered"/>
    <s v="Enny Muktar"/>
    <d v="2020-09-12T00:00:00"/>
    <s v="General Trade"/>
    <x v="0"/>
  </r>
  <r>
    <d v="2020-08-12T00:00:00"/>
    <n v="2020"/>
    <x v="10"/>
    <n v="12"/>
    <x v="10"/>
    <x v="96"/>
    <x v="61"/>
    <x v="8"/>
    <x v="21"/>
    <x v="2"/>
    <x v="10"/>
    <x v="45"/>
    <n v="1"/>
    <n v="3300"/>
    <n v="3300"/>
    <s v="delivered"/>
    <s v="Enny Muktar"/>
    <d v="2020-09-12T00:00:00"/>
    <s v="General Trade"/>
    <x v="0"/>
  </r>
  <r>
    <d v="2020-08-12T00:00:00"/>
    <n v="2020"/>
    <x v="10"/>
    <n v="12"/>
    <x v="10"/>
    <x v="96"/>
    <x v="61"/>
    <x v="1"/>
    <x v="20"/>
    <x v="2"/>
    <x v="6"/>
    <x v="44"/>
    <n v="1"/>
    <n v="8800"/>
    <n v="8800"/>
    <s v="delivered"/>
    <s v="Enny Muktar"/>
    <d v="2020-09-12T00:00:00"/>
    <s v="General Trade"/>
    <x v="0"/>
  </r>
  <r>
    <d v="2020-08-12T00:00:00"/>
    <n v="2020"/>
    <x v="10"/>
    <n v="12"/>
    <x v="10"/>
    <x v="96"/>
    <x v="61"/>
    <x v="11"/>
    <x v="18"/>
    <x v="2"/>
    <x v="8"/>
    <x v="60"/>
    <n v="1"/>
    <n v="3180"/>
    <n v="3180"/>
    <s v="delivered"/>
    <s v="Enny Muktar"/>
    <d v="2020-09-12T00:00:00"/>
    <s v="General Trade"/>
    <x v="0"/>
  </r>
  <r>
    <d v="2020-08-12T00:00:00"/>
    <n v="2020"/>
    <x v="10"/>
    <n v="12"/>
    <x v="10"/>
    <x v="97"/>
    <x v="34"/>
    <x v="6"/>
    <x v="11"/>
    <x v="2"/>
    <x v="6"/>
    <x v="21"/>
    <n v="1"/>
    <n v="7800"/>
    <n v="7800"/>
    <s v="delivered"/>
    <s v="Chinonso Micheal"/>
    <d v="2020-09-12T00:00:00"/>
    <s v="General Trade"/>
    <x v="1"/>
  </r>
  <r>
    <d v="2020-08-12T00:00:00"/>
    <n v="2020"/>
    <x v="10"/>
    <n v="12"/>
    <x v="10"/>
    <x v="97"/>
    <x v="34"/>
    <x v="16"/>
    <x v="28"/>
    <x v="2"/>
    <x v="13"/>
    <x v="65"/>
    <n v="1"/>
    <n v="4200"/>
    <n v="4200"/>
    <s v="delivered"/>
    <s v="Chinonso Micheal"/>
    <d v="2020-09-12T00:00:00"/>
    <s v="General Trade"/>
    <x v="1"/>
  </r>
  <r>
    <d v="2020-08-12T00:00:00"/>
    <n v="2020"/>
    <x v="10"/>
    <n v="12"/>
    <x v="10"/>
    <x v="97"/>
    <x v="34"/>
    <x v="8"/>
    <x v="14"/>
    <x v="2"/>
    <x v="5"/>
    <x v="24"/>
    <n v="5"/>
    <n v="2000"/>
    <n v="10000"/>
    <s v="delivered"/>
    <s v="Chinonso Micheal"/>
    <d v="2020-09-12T00:00:00"/>
    <s v="General Trade"/>
    <x v="1"/>
  </r>
  <r>
    <d v="2020-08-12T00:00:00"/>
    <n v="2020"/>
    <x v="10"/>
    <n v="12"/>
    <x v="10"/>
    <x v="98"/>
    <x v="62"/>
    <x v="2"/>
    <x v="9"/>
    <x v="2"/>
    <x v="4"/>
    <x v="19"/>
    <n v="10"/>
    <n v="9120"/>
    <n v="91200"/>
    <s v="delivered"/>
    <s v="Loveth Adesoji"/>
    <d v="2020-09-12T00:00:00"/>
    <s v="General Trade"/>
    <x v="1"/>
  </r>
  <r>
    <d v="2020-08-12T00:00:00"/>
    <n v="2020"/>
    <x v="10"/>
    <n v="12"/>
    <x v="10"/>
    <x v="99"/>
    <x v="62"/>
    <x v="6"/>
    <x v="11"/>
    <x v="2"/>
    <x v="6"/>
    <x v="37"/>
    <n v="5"/>
    <n v="6350"/>
    <n v="31750"/>
    <s v="delivered"/>
    <s v="Loveth Adesoji"/>
    <d v="2020-09-12T00:00:00"/>
    <s v="General Trade"/>
    <x v="1"/>
  </r>
  <r>
    <d v="2020-08-12T00:00:00"/>
    <n v="2020"/>
    <x v="10"/>
    <n v="12"/>
    <x v="10"/>
    <x v="100"/>
    <x v="42"/>
    <x v="2"/>
    <x v="9"/>
    <x v="2"/>
    <x v="4"/>
    <x v="19"/>
    <n v="15"/>
    <n v="9120"/>
    <n v="136800"/>
    <s v="delivered"/>
    <s v="Hellen Prince"/>
    <d v="2020-09-12T00:00:00"/>
    <s v="General Trade"/>
    <x v="1"/>
  </r>
  <r>
    <d v="2020-08-12T00:00:00"/>
    <n v="2020"/>
    <x v="10"/>
    <n v="12"/>
    <x v="10"/>
    <x v="101"/>
    <x v="63"/>
    <x v="2"/>
    <x v="10"/>
    <x v="2"/>
    <x v="5"/>
    <x v="61"/>
    <n v="1"/>
    <n v="7450"/>
    <n v="7450"/>
    <s v="delivered"/>
    <s v="Chidera Aye"/>
    <d v="2020-09-12T00:00:00"/>
    <s v="General Trade"/>
    <x v="1"/>
  </r>
  <r>
    <d v="2020-08-12T00:00:00"/>
    <n v="2020"/>
    <x v="10"/>
    <n v="12"/>
    <x v="10"/>
    <x v="101"/>
    <x v="63"/>
    <x v="15"/>
    <x v="26"/>
    <x v="2"/>
    <x v="9"/>
    <x v="62"/>
    <n v="1"/>
    <n v="1500"/>
    <n v="1500"/>
    <s v="delivered"/>
    <s v="Chidera Aye"/>
    <d v="2020-09-12T00:00:00"/>
    <s v="General Trade"/>
    <x v="1"/>
  </r>
  <r>
    <d v="2020-07-12T00:00:00"/>
    <n v="2020"/>
    <x v="5"/>
    <n v="12"/>
    <x v="5"/>
    <x v="102"/>
    <x v="51"/>
    <x v="1"/>
    <x v="13"/>
    <x v="2"/>
    <x v="6"/>
    <x v="57"/>
    <n v="3"/>
    <n v="8900"/>
    <n v="26700"/>
    <s v="delivered"/>
    <s v="Kenny Akinola"/>
    <d v="2020-09-12T00:00:00"/>
    <s v="General Trade"/>
    <x v="0"/>
  </r>
  <r>
    <d v="2020-07-12T00:00:00"/>
    <n v="2020"/>
    <x v="5"/>
    <n v="12"/>
    <x v="5"/>
    <x v="102"/>
    <x v="51"/>
    <x v="2"/>
    <x v="10"/>
    <x v="2"/>
    <x v="5"/>
    <x v="61"/>
    <n v="2"/>
    <n v="7450"/>
    <n v="14900"/>
    <s v="delivered"/>
    <s v="Kenny Akinola"/>
    <d v="2020-09-12T00:00:00"/>
    <s v="General Trade"/>
    <x v="0"/>
  </r>
  <r>
    <d v="2020-08-12T00:00:00"/>
    <n v="2020"/>
    <x v="10"/>
    <n v="12"/>
    <x v="10"/>
    <x v="103"/>
    <x v="64"/>
    <x v="2"/>
    <x v="9"/>
    <x v="2"/>
    <x v="4"/>
    <x v="28"/>
    <n v="2"/>
    <n v="10050"/>
    <n v="20100"/>
    <s v="delivered"/>
    <s v="Jessica Williams"/>
    <d v="2020-09-12T00:00:00"/>
    <s v="General Trade"/>
    <x v="1"/>
  </r>
  <r>
    <d v="2020-08-12T00:00:00"/>
    <n v="2020"/>
    <x v="10"/>
    <n v="12"/>
    <x v="10"/>
    <x v="103"/>
    <x v="64"/>
    <x v="2"/>
    <x v="9"/>
    <x v="2"/>
    <x v="4"/>
    <x v="19"/>
    <n v="2"/>
    <n v="9120"/>
    <n v="18240"/>
    <s v="delivered"/>
    <s v="Jessica Williams"/>
    <d v="2020-09-12T00:00:00"/>
    <s v="General Trade"/>
    <x v="1"/>
  </r>
  <r>
    <d v="2020-08-12T00:00:00"/>
    <n v="2020"/>
    <x v="10"/>
    <n v="12"/>
    <x v="10"/>
    <x v="103"/>
    <x v="64"/>
    <x v="9"/>
    <x v="15"/>
    <x v="2"/>
    <x v="4"/>
    <x v="29"/>
    <n v="1"/>
    <n v="9050"/>
    <n v="9050"/>
    <s v="delivered"/>
    <s v="Jessica Williams"/>
    <d v="2020-09-12T00:00:00"/>
    <s v="General Trade"/>
    <x v="1"/>
  </r>
  <r>
    <d v="2020-08-12T00:00:00"/>
    <n v="2020"/>
    <x v="10"/>
    <n v="12"/>
    <x v="10"/>
    <x v="104"/>
    <x v="65"/>
    <x v="15"/>
    <x v="26"/>
    <x v="2"/>
    <x v="9"/>
    <x v="62"/>
    <n v="1"/>
    <n v="1500"/>
    <n v="1500"/>
    <s v="delivered"/>
    <s v="sophia Tanitoluwa"/>
    <d v="2020-09-12T00:00:00"/>
    <s v="General Trade"/>
    <x v="1"/>
  </r>
  <r>
    <d v="2020-08-12T00:00:00"/>
    <n v="2020"/>
    <x v="10"/>
    <n v="12"/>
    <x v="10"/>
    <x v="104"/>
    <x v="65"/>
    <x v="15"/>
    <x v="26"/>
    <x v="2"/>
    <x v="9"/>
    <x v="63"/>
    <n v="1"/>
    <n v="1"/>
    <n v="1"/>
    <s v="delivered"/>
    <s v="sophia Tanitoluwa"/>
    <d v="2020-09-12T00:00:00"/>
    <s v="General Trade"/>
    <x v="1"/>
  </r>
  <r>
    <d v="2020-07-12T00:00:00"/>
    <n v="2020"/>
    <x v="5"/>
    <n v="12"/>
    <x v="5"/>
    <x v="105"/>
    <x v="25"/>
    <x v="10"/>
    <x v="17"/>
    <x v="2"/>
    <x v="6"/>
    <x v="33"/>
    <n v="10"/>
    <n v="6750"/>
    <n v="67500"/>
    <s v="delivered"/>
    <s v="Nwando Godwin"/>
    <d v="2020-09-12T00:00:00"/>
    <s v="Wholesale"/>
    <x v="0"/>
  </r>
  <r>
    <d v="2020-08-12T00:00:00"/>
    <n v="2020"/>
    <x v="10"/>
    <n v="12"/>
    <x v="10"/>
    <x v="106"/>
    <x v="25"/>
    <x v="17"/>
    <x v="29"/>
    <x v="2"/>
    <x v="5"/>
    <x v="66"/>
    <n v="10"/>
    <n v="1550"/>
    <n v="15500"/>
    <s v="delivered"/>
    <s v="Nwando Godwin"/>
    <d v="2020-09-12T00:00:00"/>
    <s v="Wholesale"/>
    <x v="0"/>
  </r>
  <r>
    <d v="2020-08-12T00:00:00"/>
    <n v="2020"/>
    <x v="10"/>
    <n v="12"/>
    <x v="10"/>
    <x v="106"/>
    <x v="25"/>
    <x v="6"/>
    <x v="11"/>
    <x v="2"/>
    <x v="6"/>
    <x v="21"/>
    <n v="5"/>
    <n v="7800"/>
    <n v="39000"/>
    <s v="delivered"/>
    <s v="Nwando Godwin"/>
    <d v="2020-09-12T00:00:00"/>
    <s v="Wholesale"/>
    <x v="0"/>
  </r>
  <r>
    <d v="2020-08-12T00:00:00"/>
    <n v="2020"/>
    <x v="10"/>
    <n v="12"/>
    <x v="10"/>
    <x v="107"/>
    <x v="66"/>
    <x v="1"/>
    <x v="13"/>
    <x v="2"/>
    <x v="6"/>
    <x v="57"/>
    <n v="1"/>
    <n v="8900"/>
    <n v="8900"/>
    <s v="delivered"/>
    <s v="Chiamaka Richard"/>
    <d v="2020-09-12T00:00:00"/>
    <s v="General Trade"/>
    <x v="1"/>
  </r>
  <r>
    <d v="2020-08-12T00:00:00"/>
    <n v="2020"/>
    <x v="10"/>
    <n v="12"/>
    <x v="10"/>
    <x v="107"/>
    <x v="66"/>
    <x v="2"/>
    <x v="10"/>
    <x v="2"/>
    <x v="5"/>
    <x v="61"/>
    <n v="2"/>
    <n v="7450"/>
    <n v="14900"/>
    <s v="delivered"/>
    <s v="Chiamaka Richard"/>
    <d v="2020-09-12T00:00:00"/>
    <s v="General Trade"/>
    <x v="1"/>
  </r>
  <r>
    <d v="2020-08-12T00:00:00"/>
    <n v="2020"/>
    <x v="10"/>
    <n v="12"/>
    <x v="10"/>
    <x v="107"/>
    <x v="66"/>
    <x v="2"/>
    <x v="9"/>
    <x v="2"/>
    <x v="4"/>
    <x v="18"/>
    <n v="3"/>
    <n v="11200"/>
    <n v="33600"/>
    <s v="delivered"/>
    <s v="Chiamaka Richard"/>
    <d v="2020-09-12T00:00:00"/>
    <s v="General Trade"/>
    <x v="1"/>
  </r>
  <r>
    <d v="2020-08-12T00:00:00"/>
    <n v="2020"/>
    <x v="10"/>
    <n v="12"/>
    <x v="10"/>
    <x v="108"/>
    <x v="67"/>
    <x v="16"/>
    <x v="28"/>
    <x v="2"/>
    <x v="13"/>
    <x v="65"/>
    <n v="3"/>
    <n v="4200"/>
    <n v="12600"/>
    <s v="delivered"/>
    <s v="sharon Walter"/>
    <d v="2020-10-12T00:00:00"/>
    <s v="General Trade"/>
    <x v="1"/>
  </r>
  <r>
    <d v="2020-09-12T00:00:00"/>
    <n v="2020"/>
    <x v="6"/>
    <n v="12"/>
    <x v="6"/>
    <x v="109"/>
    <x v="34"/>
    <x v="1"/>
    <x v="13"/>
    <x v="2"/>
    <x v="6"/>
    <x v="32"/>
    <n v="2"/>
    <n v="3750"/>
    <n v="7500"/>
    <s v="delivered"/>
    <s v="Loveth Adesoji"/>
    <d v="2020-10-12T00:00:00"/>
    <s v="General Trade"/>
    <x v="1"/>
  </r>
  <r>
    <d v="2020-09-12T00:00:00"/>
    <n v="2020"/>
    <x v="6"/>
    <n v="12"/>
    <x v="6"/>
    <x v="110"/>
    <x v="9"/>
    <x v="10"/>
    <x v="22"/>
    <x v="2"/>
    <x v="6"/>
    <x v="48"/>
    <n v="1"/>
    <n v="23680"/>
    <n v="23680"/>
    <s v="delivered"/>
    <s v="William Henry"/>
    <d v="2020-10-12T00:00:00"/>
    <s v="General Trade"/>
    <x v="1"/>
  </r>
  <r>
    <d v="2020-09-12T00:00:00"/>
    <n v="2020"/>
    <x v="6"/>
    <n v="12"/>
    <x v="6"/>
    <x v="110"/>
    <x v="9"/>
    <x v="16"/>
    <x v="28"/>
    <x v="2"/>
    <x v="13"/>
    <x v="65"/>
    <n v="2"/>
    <n v="4200"/>
    <n v="8400"/>
    <s v="delivered"/>
    <s v="William Henry"/>
    <d v="2020-10-12T00:00:00"/>
    <s v="General Trade"/>
    <x v="1"/>
  </r>
  <r>
    <d v="2020-09-12T00:00:00"/>
    <n v="2020"/>
    <x v="6"/>
    <n v="12"/>
    <x v="6"/>
    <x v="111"/>
    <x v="68"/>
    <x v="15"/>
    <x v="26"/>
    <x v="2"/>
    <x v="9"/>
    <x v="62"/>
    <n v="1"/>
    <n v="1500"/>
    <n v="1500"/>
    <s v="delivered"/>
    <s v="Rayo Enoch"/>
    <d v="2020-10-12T00:00:00"/>
    <s v="General Trade"/>
    <x v="1"/>
  </r>
  <r>
    <d v="2020-09-12T00:00:00"/>
    <n v="2020"/>
    <x v="6"/>
    <n v="12"/>
    <x v="6"/>
    <x v="111"/>
    <x v="68"/>
    <x v="15"/>
    <x v="26"/>
    <x v="2"/>
    <x v="9"/>
    <x v="63"/>
    <n v="1"/>
    <n v="1"/>
    <n v="1"/>
    <s v="delivered"/>
    <s v="Rayo Enoch"/>
    <d v="2020-10-12T00:00:00"/>
    <s v="General Trade"/>
    <x v="1"/>
  </r>
  <r>
    <d v="2020-09-12T00:00:00"/>
    <n v="2020"/>
    <x v="6"/>
    <n v="12"/>
    <x v="6"/>
    <x v="112"/>
    <x v="69"/>
    <x v="10"/>
    <x v="17"/>
    <x v="2"/>
    <x v="6"/>
    <x v="35"/>
    <n v="1"/>
    <n v="8500"/>
    <n v="8500"/>
    <s v="delivered"/>
    <s v="Martins Obafemi"/>
    <d v="2020-10-12T00:00:00"/>
    <s v="General Trade"/>
    <x v="1"/>
  </r>
  <r>
    <d v="2020-09-12T00:00:00"/>
    <n v="2020"/>
    <x v="6"/>
    <n v="12"/>
    <x v="6"/>
    <x v="112"/>
    <x v="69"/>
    <x v="2"/>
    <x v="9"/>
    <x v="2"/>
    <x v="4"/>
    <x v="18"/>
    <n v="1"/>
    <n v="11200"/>
    <n v="11200"/>
    <s v="delivered"/>
    <s v="Martins Obafemi"/>
    <d v="2020-10-12T00:00:00"/>
    <s v="General Trade"/>
    <x v="1"/>
  </r>
  <r>
    <d v="2020-09-12T00:00:00"/>
    <n v="2020"/>
    <x v="6"/>
    <n v="12"/>
    <x v="6"/>
    <x v="112"/>
    <x v="69"/>
    <x v="8"/>
    <x v="14"/>
    <x v="2"/>
    <x v="5"/>
    <x v="24"/>
    <n v="1"/>
    <n v="2000"/>
    <n v="2000"/>
    <s v="delivered"/>
    <s v="Martins Obafemi"/>
    <d v="2020-10-12T00:00:00"/>
    <s v="General Trade"/>
    <x v="1"/>
  </r>
  <r>
    <d v="2020-09-12T00:00:00"/>
    <n v="2020"/>
    <x v="6"/>
    <n v="12"/>
    <x v="6"/>
    <x v="113"/>
    <x v="70"/>
    <x v="2"/>
    <x v="9"/>
    <x v="2"/>
    <x v="4"/>
    <x v="19"/>
    <n v="3"/>
    <n v="9120"/>
    <n v="27360"/>
    <s v="delivered"/>
    <s v="Maryjane Joel"/>
    <d v="2020-10-12T00:00:00"/>
    <s v="Wholesale"/>
    <x v="1"/>
  </r>
  <r>
    <d v="2020-09-12T00:00:00"/>
    <n v="2020"/>
    <x v="6"/>
    <n v="12"/>
    <x v="6"/>
    <x v="114"/>
    <x v="71"/>
    <x v="2"/>
    <x v="9"/>
    <x v="2"/>
    <x v="4"/>
    <x v="19"/>
    <n v="3"/>
    <n v="9120"/>
    <n v="27360"/>
    <s v="delivered"/>
    <s v="Hellen Prince"/>
    <d v="2020-10-12T00:00:00"/>
    <s v="General Trade"/>
    <x v="1"/>
  </r>
  <r>
    <d v="2020-09-12T00:00:00"/>
    <n v="2020"/>
    <x v="6"/>
    <n v="12"/>
    <x v="6"/>
    <x v="114"/>
    <x v="71"/>
    <x v="8"/>
    <x v="14"/>
    <x v="2"/>
    <x v="5"/>
    <x v="24"/>
    <n v="2"/>
    <n v="2000"/>
    <n v="4000"/>
    <s v="delivered"/>
    <s v="Hellen Prince"/>
    <d v="2020-10-12T00:00:00"/>
    <s v="General Trade"/>
    <x v="1"/>
  </r>
  <r>
    <d v="2020-09-12T00:00:00"/>
    <n v="2020"/>
    <x v="6"/>
    <n v="12"/>
    <x v="6"/>
    <x v="16"/>
    <x v="11"/>
    <x v="2"/>
    <x v="9"/>
    <x v="2"/>
    <x v="4"/>
    <x v="19"/>
    <n v="4"/>
    <n v="9120"/>
    <n v="36480"/>
    <s v="delivered"/>
    <s v="Tife Chibunnam"/>
    <d v="2020-10-12T00:00:00"/>
    <s v="General Trade"/>
    <x v="1"/>
  </r>
  <r>
    <d v="2020-09-12T00:00:00"/>
    <n v="2020"/>
    <x v="6"/>
    <n v="12"/>
    <x v="6"/>
    <x v="16"/>
    <x v="11"/>
    <x v="2"/>
    <x v="9"/>
    <x v="2"/>
    <x v="4"/>
    <x v="28"/>
    <n v="1"/>
    <n v="10050"/>
    <n v="10050"/>
    <s v="delivered"/>
    <s v="Tife Chibunnam"/>
    <d v="2020-10-12T00:00:00"/>
    <s v="General Trade"/>
    <x v="1"/>
  </r>
  <r>
    <d v="2020-09-12T00:00:00"/>
    <n v="2020"/>
    <x v="6"/>
    <n v="12"/>
    <x v="6"/>
    <x v="115"/>
    <x v="72"/>
    <x v="15"/>
    <x v="26"/>
    <x v="2"/>
    <x v="9"/>
    <x v="62"/>
    <n v="1"/>
    <n v="1500"/>
    <n v="1500"/>
    <s v="delivered"/>
    <s v="Martins Obafemi"/>
    <d v="2020-10-12T00:00:00"/>
    <s v="General Trade"/>
    <x v="1"/>
  </r>
  <r>
    <d v="2020-09-12T00:00:00"/>
    <n v="2020"/>
    <x v="6"/>
    <n v="12"/>
    <x v="6"/>
    <x v="115"/>
    <x v="72"/>
    <x v="15"/>
    <x v="26"/>
    <x v="2"/>
    <x v="9"/>
    <x v="63"/>
    <n v="1"/>
    <n v="1"/>
    <n v="1"/>
    <s v="delivered"/>
    <s v="Martins Obafemi"/>
    <d v="2020-10-12T00:00:00"/>
    <s v="General Trade"/>
    <x v="1"/>
  </r>
  <r>
    <d v="2020-09-12T00:00:00"/>
    <n v="2020"/>
    <x v="6"/>
    <n v="12"/>
    <x v="6"/>
    <x v="116"/>
    <x v="73"/>
    <x v="10"/>
    <x v="17"/>
    <x v="2"/>
    <x v="6"/>
    <x v="35"/>
    <n v="4"/>
    <n v="8500"/>
    <n v="34000"/>
    <s v="delivered"/>
    <s v="Tife Chibunnam"/>
    <d v="2020-10-12T00:00:00"/>
    <s v="General Trade"/>
    <x v="1"/>
  </r>
  <r>
    <d v="2020-09-12T00:00:00"/>
    <n v="2020"/>
    <x v="6"/>
    <n v="12"/>
    <x v="6"/>
    <x v="116"/>
    <x v="73"/>
    <x v="10"/>
    <x v="22"/>
    <x v="2"/>
    <x v="6"/>
    <x v="54"/>
    <n v="1"/>
    <n v="11120"/>
    <n v="11120"/>
    <s v="delivered"/>
    <s v="Tife Chibunnam"/>
    <d v="2020-10-12T00:00:00"/>
    <s v="General Trade"/>
    <x v="1"/>
  </r>
  <r>
    <d v="2020-09-12T00:00:00"/>
    <n v="2020"/>
    <x v="6"/>
    <n v="12"/>
    <x v="6"/>
    <x v="116"/>
    <x v="73"/>
    <x v="8"/>
    <x v="14"/>
    <x v="2"/>
    <x v="5"/>
    <x v="50"/>
    <n v="20"/>
    <n v="700"/>
    <n v="14000"/>
    <s v="delivered"/>
    <s v="Tife Chibunnam"/>
    <d v="2020-10-12T00:00:00"/>
    <s v="General Trade"/>
    <x v="1"/>
  </r>
  <r>
    <d v="2020-09-12T00:00:00"/>
    <n v="2020"/>
    <x v="6"/>
    <n v="12"/>
    <x v="6"/>
    <x v="117"/>
    <x v="74"/>
    <x v="15"/>
    <x v="26"/>
    <x v="2"/>
    <x v="9"/>
    <x v="63"/>
    <n v="1"/>
    <n v="1"/>
    <n v="1"/>
    <s v="delivered"/>
    <s v="Olive joy"/>
    <d v="2020-10-12T00:00:00"/>
    <s v="General Trade"/>
    <x v="1"/>
  </r>
  <r>
    <d v="2020-09-12T00:00:00"/>
    <n v="2020"/>
    <x v="6"/>
    <n v="12"/>
    <x v="6"/>
    <x v="117"/>
    <x v="74"/>
    <x v="15"/>
    <x v="26"/>
    <x v="2"/>
    <x v="9"/>
    <x v="62"/>
    <n v="1"/>
    <n v="1500"/>
    <n v="1500"/>
    <s v="delivered"/>
    <s v="Olive joy"/>
    <d v="2020-10-12T00:00:00"/>
    <s v="General Trade"/>
    <x v="1"/>
  </r>
  <r>
    <d v="2020-08-12T00:00:00"/>
    <n v="2020"/>
    <x v="10"/>
    <n v="12"/>
    <x v="10"/>
    <x v="118"/>
    <x v="75"/>
    <x v="2"/>
    <x v="9"/>
    <x v="2"/>
    <x v="4"/>
    <x v="18"/>
    <n v="2"/>
    <n v="11200"/>
    <n v="22400"/>
    <s v="delivered"/>
    <s v="kebe Joseph"/>
    <d v="2020-10-12T00:00:00"/>
    <s v="General Trade"/>
    <x v="0"/>
  </r>
  <r>
    <d v="2020-09-12T00:00:00"/>
    <n v="2020"/>
    <x v="6"/>
    <n v="12"/>
    <x v="6"/>
    <x v="119"/>
    <x v="76"/>
    <x v="16"/>
    <x v="28"/>
    <x v="2"/>
    <x v="13"/>
    <x v="65"/>
    <n v="1"/>
    <n v="4200"/>
    <n v="4200"/>
    <s v="delivered"/>
    <s v="vanessa Jude"/>
    <d v="2020-10-12T00:00:00"/>
    <s v="General Trade"/>
    <x v="1"/>
  </r>
  <r>
    <d v="2020-09-12T00:00:00"/>
    <n v="2020"/>
    <x v="6"/>
    <n v="12"/>
    <x v="6"/>
    <x v="119"/>
    <x v="76"/>
    <x v="17"/>
    <x v="29"/>
    <x v="2"/>
    <x v="5"/>
    <x v="66"/>
    <n v="1"/>
    <n v="1550"/>
    <n v="1550"/>
    <s v="delivered"/>
    <s v="vanessa Jude"/>
    <d v="2020-10-12T00:00:00"/>
    <s v="General Trade"/>
    <x v="1"/>
  </r>
  <r>
    <d v="2020-09-12T00:00:00"/>
    <n v="2020"/>
    <x v="6"/>
    <n v="12"/>
    <x v="6"/>
    <x v="119"/>
    <x v="76"/>
    <x v="2"/>
    <x v="10"/>
    <x v="2"/>
    <x v="5"/>
    <x v="20"/>
    <n v="1"/>
    <n v="7450"/>
    <n v="7450"/>
    <s v="delivered"/>
    <s v="vanessa Jude"/>
    <d v="2020-10-12T00:00:00"/>
    <s v="General Trade"/>
    <x v="1"/>
  </r>
  <r>
    <d v="2020-09-12T00:00:00"/>
    <n v="2020"/>
    <x v="6"/>
    <n v="12"/>
    <x v="6"/>
    <x v="119"/>
    <x v="76"/>
    <x v="1"/>
    <x v="13"/>
    <x v="2"/>
    <x v="6"/>
    <x v="32"/>
    <n v="2"/>
    <n v="3750"/>
    <n v="7500"/>
    <s v="delivered"/>
    <s v="vanessa Jude"/>
    <d v="2020-10-12T00:00:00"/>
    <s v="General Trade"/>
    <x v="1"/>
  </r>
  <r>
    <d v="2020-09-12T00:00:00"/>
    <n v="2020"/>
    <x v="6"/>
    <n v="12"/>
    <x v="6"/>
    <x v="119"/>
    <x v="76"/>
    <x v="1"/>
    <x v="20"/>
    <x v="2"/>
    <x v="6"/>
    <x v="44"/>
    <n v="1"/>
    <n v="8800"/>
    <n v="8800"/>
    <s v="delivered"/>
    <s v="vanessa Jude"/>
    <d v="2020-10-12T00:00:00"/>
    <s v="General Trade"/>
    <x v="1"/>
  </r>
  <r>
    <d v="2020-09-12T00:00:00"/>
    <n v="2020"/>
    <x v="6"/>
    <n v="12"/>
    <x v="6"/>
    <x v="119"/>
    <x v="76"/>
    <x v="8"/>
    <x v="14"/>
    <x v="2"/>
    <x v="5"/>
    <x v="50"/>
    <n v="1"/>
    <n v="700"/>
    <n v="700"/>
    <s v="delivered"/>
    <s v="vanessa Jude"/>
    <d v="2020-10-12T00:00:00"/>
    <s v="General Trade"/>
    <x v="1"/>
  </r>
  <r>
    <d v="2020-09-12T00:00:00"/>
    <n v="2020"/>
    <x v="6"/>
    <n v="12"/>
    <x v="6"/>
    <x v="120"/>
    <x v="77"/>
    <x v="15"/>
    <x v="26"/>
    <x v="2"/>
    <x v="9"/>
    <x v="62"/>
    <n v="1"/>
    <n v="1500"/>
    <n v="1500"/>
    <s v="delivered"/>
    <s v="Bethel Rasak Faruk"/>
    <d v="2020-10-12T00:00:00"/>
    <s v="General Trade"/>
    <x v="1"/>
  </r>
  <r>
    <d v="2020-09-12T00:00:00"/>
    <n v="2020"/>
    <x v="6"/>
    <n v="12"/>
    <x v="6"/>
    <x v="120"/>
    <x v="77"/>
    <x v="15"/>
    <x v="26"/>
    <x v="2"/>
    <x v="9"/>
    <x v="63"/>
    <n v="1"/>
    <n v="1"/>
    <n v="1"/>
    <s v="delivered"/>
    <s v="Bethel Rasak Faruk"/>
    <d v="2020-10-12T00:00:00"/>
    <s v="General Trade"/>
    <x v="1"/>
  </r>
  <r>
    <d v="2020-09-12T00:00:00"/>
    <n v="2020"/>
    <x v="6"/>
    <n v="12"/>
    <x v="6"/>
    <x v="121"/>
    <x v="25"/>
    <x v="10"/>
    <x v="17"/>
    <x v="2"/>
    <x v="6"/>
    <x v="35"/>
    <n v="2"/>
    <n v="8500"/>
    <n v="17000"/>
    <s v="delivered"/>
    <s v="Oluchi monday"/>
    <d v="2020-10-12T00:00:00"/>
    <s v="Wholesale"/>
    <x v="1"/>
  </r>
  <r>
    <d v="2020-09-12T00:00:00"/>
    <n v="2020"/>
    <x v="6"/>
    <n v="12"/>
    <x v="6"/>
    <x v="121"/>
    <x v="25"/>
    <x v="2"/>
    <x v="9"/>
    <x v="2"/>
    <x v="4"/>
    <x v="28"/>
    <n v="2"/>
    <n v="10050"/>
    <n v="20100"/>
    <s v="delivered"/>
    <s v="Oluchi monday"/>
    <d v="2020-10-12T00:00:00"/>
    <s v="Wholesale"/>
    <x v="1"/>
  </r>
  <r>
    <d v="2020-09-12T00:00:00"/>
    <n v="2020"/>
    <x v="6"/>
    <n v="12"/>
    <x v="6"/>
    <x v="121"/>
    <x v="25"/>
    <x v="2"/>
    <x v="10"/>
    <x v="2"/>
    <x v="5"/>
    <x v="20"/>
    <n v="2"/>
    <n v="7450"/>
    <n v="14900"/>
    <s v="delivered"/>
    <s v="Oluchi monday"/>
    <d v="2020-10-12T00:00:00"/>
    <s v="Wholesale"/>
    <x v="1"/>
  </r>
  <r>
    <d v="2020-10-12T00:00:00"/>
    <n v="2020"/>
    <x v="7"/>
    <n v="12"/>
    <x v="7"/>
    <x v="122"/>
    <x v="11"/>
    <x v="10"/>
    <x v="17"/>
    <x v="2"/>
    <x v="6"/>
    <x v="33"/>
    <n v="4"/>
    <n v="6750"/>
    <n v="27000"/>
    <s v="delivered"/>
    <s v="Martins oyekunle"/>
    <d v="2020-11-12T00:00:00"/>
    <s v="General Trade"/>
    <x v="1"/>
  </r>
  <r>
    <d v="2020-10-12T00:00:00"/>
    <n v="2020"/>
    <x v="7"/>
    <n v="12"/>
    <x v="7"/>
    <x v="122"/>
    <x v="11"/>
    <x v="16"/>
    <x v="28"/>
    <x v="2"/>
    <x v="13"/>
    <x v="67"/>
    <n v="1"/>
    <n v="4200"/>
    <n v="4200"/>
    <s v="delivered"/>
    <s v="Martins oyekunle"/>
    <d v="2020-11-12T00:00:00"/>
    <s v="General Trade"/>
    <x v="1"/>
  </r>
  <r>
    <d v="2020-10-12T00:00:00"/>
    <n v="2020"/>
    <x v="7"/>
    <n v="12"/>
    <x v="7"/>
    <x v="123"/>
    <x v="78"/>
    <x v="2"/>
    <x v="9"/>
    <x v="2"/>
    <x v="4"/>
    <x v="18"/>
    <n v="2"/>
    <n v="11200"/>
    <n v="22400"/>
    <s v="delivered"/>
    <s v="chinelo Isaac"/>
    <d v="2020-11-12T00:00:00"/>
    <s v="General Trade"/>
    <x v="0"/>
  </r>
  <r>
    <d v="2020-10-12T00:00:00"/>
    <n v="2020"/>
    <x v="7"/>
    <n v="12"/>
    <x v="7"/>
    <x v="123"/>
    <x v="78"/>
    <x v="2"/>
    <x v="9"/>
    <x v="2"/>
    <x v="4"/>
    <x v="19"/>
    <n v="3"/>
    <n v="9120"/>
    <n v="27360"/>
    <s v="delivered"/>
    <s v="chinelo Isaac"/>
    <d v="2020-11-12T00:00:00"/>
    <s v="General Trade"/>
    <x v="0"/>
  </r>
  <r>
    <d v="2020-10-12T00:00:00"/>
    <n v="2020"/>
    <x v="7"/>
    <n v="12"/>
    <x v="7"/>
    <x v="124"/>
    <x v="79"/>
    <x v="2"/>
    <x v="9"/>
    <x v="2"/>
    <x v="4"/>
    <x v="18"/>
    <n v="1"/>
    <n v="11200"/>
    <n v="11200"/>
    <s v="delivered"/>
    <s v="chinelo Isaac"/>
    <d v="2020-11-12T00:00:00"/>
    <s v="General Trade"/>
    <x v="1"/>
  </r>
  <r>
    <d v="2020-10-12T00:00:00"/>
    <n v="2020"/>
    <x v="7"/>
    <n v="12"/>
    <x v="7"/>
    <x v="124"/>
    <x v="79"/>
    <x v="2"/>
    <x v="9"/>
    <x v="2"/>
    <x v="4"/>
    <x v="19"/>
    <n v="1"/>
    <n v="9120"/>
    <n v="9120"/>
    <s v="delivered"/>
    <s v="chinelo Isaac"/>
    <d v="2020-11-12T00:00:00"/>
    <s v="General Trade"/>
    <x v="1"/>
  </r>
  <r>
    <d v="2020-10-12T00:00:00"/>
    <n v="2020"/>
    <x v="7"/>
    <n v="12"/>
    <x v="7"/>
    <x v="124"/>
    <x v="79"/>
    <x v="10"/>
    <x v="17"/>
    <x v="2"/>
    <x v="6"/>
    <x v="33"/>
    <n v="1"/>
    <n v="6750"/>
    <n v="6750"/>
    <s v="delivered"/>
    <s v="chinelo Isaac"/>
    <d v="2020-11-12T00:00:00"/>
    <s v="General Trade"/>
    <x v="1"/>
  </r>
  <r>
    <d v="2020-10-12T00:00:00"/>
    <n v="2020"/>
    <x v="7"/>
    <n v="12"/>
    <x v="7"/>
    <x v="125"/>
    <x v="80"/>
    <x v="10"/>
    <x v="17"/>
    <x v="2"/>
    <x v="6"/>
    <x v="35"/>
    <n v="3"/>
    <n v="8500"/>
    <n v="25500"/>
    <s v="delivered"/>
    <s v="dorcas Adewale"/>
    <d v="2020-11-12T00:00:00"/>
    <s v="General Trade"/>
    <x v="1"/>
  </r>
  <r>
    <d v="2020-10-12T00:00:00"/>
    <n v="2020"/>
    <x v="7"/>
    <n v="12"/>
    <x v="7"/>
    <x v="126"/>
    <x v="81"/>
    <x v="15"/>
    <x v="26"/>
    <x v="2"/>
    <x v="9"/>
    <x v="62"/>
    <n v="1"/>
    <n v="1500"/>
    <n v="1500"/>
    <s v="delivered"/>
    <s v="Adaeze gabriel"/>
    <d v="2020-11-12T00:00:00"/>
    <s v="Wholesale"/>
    <x v="1"/>
  </r>
  <r>
    <d v="2020-10-12T00:00:00"/>
    <n v="2020"/>
    <x v="7"/>
    <n v="12"/>
    <x v="7"/>
    <x v="126"/>
    <x v="81"/>
    <x v="15"/>
    <x v="26"/>
    <x v="2"/>
    <x v="9"/>
    <x v="63"/>
    <n v="1"/>
    <n v="1"/>
    <n v="1"/>
    <s v="delivered"/>
    <s v="Adaeze gabriel"/>
    <d v="2020-11-12T00:00:00"/>
    <s v="Wholesale"/>
    <x v="1"/>
  </r>
  <r>
    <d v="2020-09-12T00:00:00"/>
    <n v="2020"/>
    <x v="6"/>
    <n v="12"/>
    <x v="6"/>
    <x v="127"/>
    <x v="42"/>
    <x v="2"/>
    <x v="10"/>
    <x v="2"/>
    <x v="5"/>
    <x v="39"/>
    <n v="5.5"/>
    <n v="7050"/>
    <n v="38775"/>
    <s v="delivered"/>
    <s v="Hellen Prince"/>
    <d v="2020-11-12T00:00:00"/>
    <s v="General Trade"/>
    <x v="1"/>
  </r>
  <r>
    <d v="2020-10-12T00:00:00"/>
    <n v="2020"/>
    <x v="7"/>
    <n v="12"/>
    <x v="7"/>
    <x v="17"/>
    <x v="13"/>
    <x v="16"/>
    <x v="28"/>
    <x v="2"/>
    <x v="13"/>
    <x v="65"/>
    <n v="1"/>
    <n v="4200"/>
    <n v="4200"/>
    <s v="delivered"/>
    <s v="Christy Umar"/>
    <d v="2020-11-12T00:00:00"/>
    <s v="General Trade"/>
    <x v="1"/>
  </r>
  <r>
    <d v="2020-10-12T00:00:00"/>
    <n v="2020"/>
    <x v="7"/>
    <n v="12"/>
    <x v="7"/>
    <x v="17"/>
    <x v="13"/>
    <x v="17"/>
    <x v="29"/>
    <x v="2"/>
    <x v="5"/>
    <x v="66"/>
    <n v="1"/>
    <n v="1550"/>
    <n v="1550"/>
    <s v="delivered"/>
    <s v="Christy Umar"/>
    <d v="2020-11-12T00:00:00"/>
    <s v="General Trade"/>
    <x v="1"/>
  </r>
  <r>
    <d v="2020-10-12T00:00:00"/>
    <n v="2020"/>
    <x v="7"/>
    <n v="12"/>
    <x v="7"/>
    <x v="17"/>
    <x v="13"/>
    <x v="2"/>
    <x v="9"/>
    <x v="2"/>
    <x v="4"/>
    <x v="18"/>
    <n v="1"/>
    <n v="11200"/>
    <n v="11200"/>
    <s v="delivered"/>
    <s v="Christy Umar"/>
    <d v="2020-11-12T00:00:00"/>
    <s v="General Trade"/>
    <x v="1"/>
  </r>
  <r>
    <d v="2020-10-12T00:00:00"/>
    <n v="2020"/>
    <x v="7"/>
    <n v="12"/>
    <x v="7"/>
    <x v="128"/>
    <x v="82"/>
    <x v="16"/>
    <x v="28"/>
    <x v="2"/>
    <x v="13"/>
    <x v="65"/>
    <n v="0.5"/>
    <n v="4200"/>
    <n v="2100"/>
    <s v="delivered"/>
    <s v="Pollyanna SOLOMON"/>
    <d v="2020-11-12T00:00:00"/>
    <s v="General Trade"/>
    <x v="1"/>
  </r>
  <r>
    <d v="2020-10-12T00:00:00"/>
    <n v="2020"/>
    <x v="7"/>
    <n v="12"/>
    <x v="7"/>
    <x v="128"/>
    <x v="82"/>
    <x v="2"/>
    <x v="9"/>
    <x v="2"/>
    <x v="4"/>
    <x v="18"/>
    <n v="0.5"/>
    <n v="11200"/>
    <n v="5600"/>
    <s v="delivered"/>
    <s v="Pollyanna SOLOMON"/>
    <d v="2020-11-12T00:00:00"/>
    <s v="General Trade"/>
    <x v="1"/>
  </r>
  <r>
    <d v="2020-10-12T00:00:00"/>
    <n v="2020"/>
    <x v="7"/>
    <n v="12"/>
    <x v="7"/>
    <x v="128"/>
    <x v="82"/>
    <x v="2"/>
    <x v="10"/>
    <x v="2"/>
    <x v="5"/>
    <x v="20"/>
    <n v="0.5"/>
    <n v="7450"/>
    <n v="3725"/>
    <s v="delivered"/>
    <s v="Pollyanna SOLOMON"/>
    <d v="2020-11-12T00:00:00"/>
    <s v="General Trade"/>
    <x v="1"/>
  </r>
  <r>
    <d v="2020-10-12T00:00:00"/>
    <n v="2020"/>
    <x v="7"/>
    <n v="12"/>
    <x v="7"/>
    <x v="128"/>
    <x v="82"/>
    <x v="2"/>
    <x v="9"/>
    <x v="2"/>
    <x v="4"/>
    <x v="19"/>
    <n v="1"/>
    <n v="9120"/>
    <n v="9120"/>
    <s v="delivered"/>
    <s v="Pollyanna SOLOMON"/>
    <d v="2020-11-12T00:00:00"/>
    <s v="General Trade"/>
    <x v="1"/>
  </r>
  <r>
    <d v="2020-10-12T00:00:00"/>
    <n v="2020"/>
    <x v="7"/>
    <n v="12"/>
    <x v="7"/>
    <x v="128"/>
    <x v="82"/>
    <x v="8"/>
    <x v="14"/>
    <x v="2"/>
    <x v="5"/>
    <x v="50"/>
    <n v="1"/>
    <n v="700"/>
    <n v="700"/>
    <s v="delivered"/>
    <s v="Pollyanna SOLOMON"/>
    <d v="2020-11-12T00:00:00"/>
    <s v="General Trade"/>
    <x v="1"/>
  </r>
  <r>
    <d v="2020-10-12T00:00:00"/>
    <n v="2020"/>
    <x v="7"/>
    <n v="12"/>
    <x v="7"/>
    <x v="128"/>
    <x v="82"/>
    <x v="8"/>
    <x v="14"/>
    <x v="2"/>
    <x v="5"/>
    <x v="24"/>
    <n v="1"/>
    <n v="2000"/>
    <n v="2000"/>
    <s v="delivered"/>
    <s v="Pollyanna SOLOMON"/>
    <d v="2020-11-12T00:00:00"/>
    <s v="General Trade"/>
    <x v="1"/>
  </r>
  <r>
    <d v="2020-10-12T00:00:00"/>
    <n v="2020"/>
    <x v="7"/>
    <n v="12"/>
    <x v="7"/>
    <x v="128"/>
    <x v="82"/>
    <x v="6"/>
    <x v="11"/>
    <x v="2"/>
    <x v="6"/>
    <x v="21"/>
    <n v="0.5"/>
    <n v="7800"/>
    <n v="3900"/>
    <s v="delivered"/>
    <s v="Pollyanna SOLOMON"/>
    <d v="2020-11-12T00:00:00"/>
    <s v="General Trade"/>
    <x v="1"/>
  </r>
  <r>
    <d v="2020-10-12T00:00:00"/>
    <n v="2020"/>
    <x v="7"/>
    <n v="12"/>
    <x v="7"/>
    <x v="128"/>
    <x v="82"/>
    <x v="6"/>
    <x v="11"/>
    <x v="2"/>
    <x v="6"/>
    <x v="34"/>
    <n v="0.5"/>
    <n v="8500"/>
    <n v="4250"/>
    <s v="delivered"/>
    <s v="Pollyanna SOLOMON"/>
    <d v="2020-11-12T00:00:00"/>
    <s v="General Trade"/>
    <x v="1"/>
  </r>
  <r>
    <d v="2020-10-12T00:00:00"/>
    <n v="2020"/>
    <x v="7"/>
    <n v="12"/>
    <x v="7"/>
    <x v="128"/>
    <x v="82"/>
    <x v="10"/>
    <x v="17"/>
    <x v="2"/>
    <x v="6"/>
    <x v="33"/>
    <n v="1"/>
    <n v="6750"/>
    <n v="6750"/>
    <s v="delivered"/>
    <s v="Pollyanna SOLOMON"/>
    <d v="2020-11-12T00:00:00"/>
    <s v="General Trade"/>
    <x v="1"/>
  </r>
  <r>
    <d v="2020-10-12T00:00:00"/>
    <n v="2020"/>
    <x v="7"/>
    <n v="12"/>
    <x v="7"/>
    <x v="129"/>
    <x v="83"/>
    <x v="10"/>
    <x v="17"/>
    <x v="2"/>
    <x v="6"/>
    <x v="33"/>
    <n v="3"/>
    <n v="6750"/>
    <n v="20250"/>
    <s v="delivered"/>
    <s v="MinRee Michael stein"/>
    <d v="2020-11-12T00:00:00"/>
    <s v="General Trade"/>
    <x v="0"/>
  </r>
  <r>
    <d v="2020-10-12T00:00:00"/>
    <n v="2020"/>
    <x v="7"/>
    <n v="12"/>
    <x v="7"/>
    <x v="129"/>
    <x v="83"/>
    <x v="2"/>
    <x v="9"/>
    <x v="2"/>
    <x v="4"/>
    <x v="42"/>
    <n v="1"/>
    <n v="13600"/>
    <n v="13600"/>
    <s v="delivered"/>
    <s v="MinRee Michael stein"/>
    <d v="2020-11-12T00:00:00"/>
    <s v="General Trade"/>
    <x v="0"/>
  </r>
  <r>
    <d v="2020-10-12T00:00:00"/>
    <n v="2020"/>
    <x v="7"/>
    <n v="12"/>
    <x v="7"/>
    <x v="18"/>
    <x v="14"/>
    <x v="10"/>
    <x v="17"/>
    <x v="2"/>
    <x v="6"/>
    <x v="33"/>
    <n v="3"/>
    <n v="6750"/>
    <n v="20250"/>
    <s v="delivered"/>
    <s v="milcah Smart"/>
    <d v="2020-11-12T00:00:00"/>
    <s v="General Trade"/>
    <x v="0"/>
  </r>
  <r>
    <d v="2020-10-12T00:00:00"/>
    <n v="2020"/>
    <x v="7"/>
    <n v="12"/>
    <x v="7"/>
    <x v="18"/>
    <x v="14"/>
    <x v="16"/>
    <x v="28"/>
    <x v="2"/>
    <x v="13"/>
    <x v="65"/>
    <n v="2"/>
    <n v="4200"/>
    <n v="8400"/>
    <s v="delivered"/>
    <s v="milcah Smart"/>
    <d v="2020-11-12T00:00:00"/>
    <s v="General Trade"/>
    <x v="0"/>
  </r>
  <r>
    <d v="2020-10-12T00:00:00"/>
    <n v="2020"/>
    <x v="7"/>
    <n v="12"/>
    <x v="7"/>
    <x v="130"/>
    <x v="84"/>
    <x v="9"/>
    <x v="15"/>
    <x v="2"/>
    <x v="4"/>
    <x v="29"/>
    <n v="5"/>
    <n v="9050"/>
    <n v="45250"/>
    <s v="delivered"/>
    <s v="Fidelia Martins"/>
    <d v="2020-11-12T00:00:00"/>
    <s v="Wholesale"/>
    <x v="1"/>
  </r>
  <r>
    <d v="2020-10-12T00:00:00"/>
    <n v="2020"/>
    <x v="7"/>
    <n v="12"/>
    <x v="7"/>
    <x v="131"/>
    <x v="85"/>
    <x v="2"/>
    <x v="9"/>
    <x v="2"/>
    <x v="4"/>
    <x v="18"/>
    <n v="3"/>
    <n v="11200"/>
    <n v="33600"/>
    <s v="delivered"/>
    <s v="Esther Victor"/>
    <d v="2020-11-12T00:00:00"/>
    <s v="General Trade"/>
    <x v="0"/>
  </r>
  <r>
    <d v="2020-10-12T00:00:00"/>
    <n v="2020"/>
    <x v="7"/>
    <n v="12"/>
    <x v="7"/>
    <x v="132"/>
    <x v="86"/>
    <x v="15"/>
    <x v="26"/>
    <x v="2"/>
    <x v="9"/>
    <x v="63"/>
    <n v="1"/>
    <n v="1"/>
    <n v="1"/>
    <s v="delivered"/>
    <s v="stella Raphael"/>
    <d v="2020-11-12T00:00:00"/>
    <s v="General Trade"/>
    <x v="2"/>
  </r>
  <r>
    <d v="2020-10-12T00:00:00"/>
    <n v="2020"/>
    <x v="7"/>
    <n v="12"/>
    <x v="7"/>
    <x v="132"/>
    <x v="86"/>
    <x v="15"/>
    <x v="26"/>
    <x v="2"/>
    <x v="9"/>
    <x v="62"/>
    <n v="1"/>
    <n v="1500"/>
    <n v="1500"/>
    <s v="delivered"/>
    <s v="stella Raphael"/>
    <d v="2020-11-12T00:00:00"/>
    <s v="General Trade"/>
    <x v="2"/>
  </r>
  <r>
    <d v="2020-10-12T00:00:00"/>
    <n v="2020"/>
    <x v="7"/>
    <n v="12"/>
    <x v="7"/>
    <x v="133"/>
    <x v="87"/>
    <x v="8"/>
    <x v="14"/>
    <x v="2"/>
    <x v="5"/>
    <x v="24"/>
    <n v="6"/>
    <n v="2000"/>
    <n v="12000"/>
    <s v="delivered"/>
    <s v="DIVINE IDRIS"/>
    <d v="2020-11-12T00:00:00"/>
    <s v="General Trade"/>
    <x v="2"/>
  </r>
  <r>
    <d v="2020-10-12T00:00:00"/>
    <n v="2020"/>
    <x v="7"/>
    <n v="12"/>
    <x v="7"/>
    <x v="133"/>
    <x v="87"/>
    <x v="6"/>
    <x v="11"/>
    <x v="2"/>
    <x v="6"/>
    <x v="21"/>
    <n v="2"/>
    <n v="7800"/>
    <n v="15600"/>
    <s v="delivered"/>
    <s v="DIVINE IDRIS"/>
    <d v="2020-11-12T00:00:00"/>
    <s v="General Trade"/>
    <x v="2"/>
  </r>
  <r>
    <d v="2020-10-12T00:00:00"/>
    <n v="2020"/>
    <x v="7"/>
    <n v="12"/>
    <x v="7"/>
    <x v="133"/>
    <x v="87"/>
    <x v="6"/>
    <x v="11"/>
    <x v="2"/>
    <x v="6"/>
    <x v="34"/>
    <n v="2"/>
    <n v="8500"/>
    <n v="17000"/>
    <s v="delivered"/>
    <s v="DIVINE IDRIS"/>
    <d v="2020-11-12T00:00:00"/>
    <s v="General Trade"/>
    <x v="2"/>
  </r>
  <r>
    <d v="2020-10-12T00:00:00"/>
    <n v="2020"/>
    <x v="7"/>
    <n v="12"/>
    <x v="7"/>
    <x v="133"/>
    <x v="87"/>
    <x v="15"/>
    <x v="26"/>
    <x v="2"/>
    <x v="9"/>
    <x v="62"/>
    <n v="1"/>
    <n v="1500"/>
    <n v="1500"/>
    <s v="delivered"/>
    <s v="DIVINE IDRIS"/>
    <d v="2020-11-12T00:00:00"/>
    <s v="General Trade"/>
    <x v="2"/>
  </r>
  <r>
    <d v="2020-10-12T00:00:00"/>
    <n v="2020"/>
    <x v="7"/>
    <n v="12"/>
    <x v="7"/>
    <x v="133"/>
    <x v="87"/>
    <x v="15"/>
    <x v="26"/>
    <x v="2"/>
    <x v="9"/>
    <x v="63"/>
    <n v="1"/>
    <n v="1"/>
    <n v="1"/>
    <s v="delivered"/>
    <s v="DIVINE IDRIS"/>
    <d v="2020-11-12T00:00:00"/>
    <s v="General Trade"/>
    <x v="2"/>
  </r>
  <r>
    <d v="2020-09-12T00:00:00"/>
    <n v="2020"/>
    <x v="6"/>
    <n v="12"/>
    <x v="6"/>
    <x v="134"/>
    <x v="28"/>
    <x v="2"/>
    <x v="10"/>
    <x v="2"/>
    <x v="5"/>
    <x v="20"/>
    <n v="5"/>
    <n v="7450"/>
    <n v="37250"/>
    <s v="delivered"/>
    <s v="Esther Victor"/>
    <d v="2020-11-12T00:00:00"/>
    <s v="General Trade"/>
    <x v="2"/>
  </r>
  <r>
    <d v="2020-10-12T00:00:00"/>
    <n v="2020"/>
    <x v="7"/>
    <n v="12"/>
    <x v="7"/>
    <x v="135"/>
    <x v="0"/>
    <x v="2"/>
    <x v="9"/>
    <x v="2"/>
    <x v="4"/>
    <x v="19"/>
    <n v="20"/>
    <n v="9120"/>
    <n v="182400"/>
    <s v="delivered"/>
    <s v="rosemary Goodluck"/>
    <d v="2020-11-12T00:00:00"/>
    <s v="General Trade"/>
    <x v="2"/>
  </r>
  <r>
    <d v="2020-10-12T00:00:00"/>
    <n v="2020"/>
    <x v="7"/>
    <n v="12"/>
    <x v="7"/>
    <x v="136"/>
    <x v="0"/>
    <x v="10"/>
    <x v="17"/>
    <x v="2"/>
    <x v="6"/>
    <x v="47"/>
    <n v="3"/>
    <n v="19170"/>
    <n v="57510"/>
    <s v="delivered"/>
    <s v="rosemary Goodluck"/>
    <d v="2020-11-12T00:00:00"/>
    <s v="General Trade"/>
    <x v="2"/>
  </r>
  <r>
    <d v="2020-10-12T00:00:00"/>
    <n v="2020"/>
    <x v="7"/>
    <n v="12"/>
    <x v="7"/>
    <x v="137"/>
    <x v="88"/>
    <x v="10"/>
    <x v="17"/>
    <x v="2"/>
    <x v="6"/>
    <x v="33"/>
    <n v="3"/>
    <n v="6750"/>
    <n v="20250"/>
    <s v="delivered"/>
    <s v="olabisi Kingsley"/>
    <d v="2020-12-12T00:00:00"/>
    <s v="General Trade"/>
    <x v="2"/>
  </r>
  <r>
    <d v="2020-10-12T00:00:00"/>
    <n v="2020"/>
    <x v="7"/>
    <n v="12"/>
    <x v="7"/>
    <x v="137"/>
    <x v="88"/>
    <x v="2"/>
    <x v="10"/>
    <x v="2"/>
    <x v="5"/>
    <x v="20"/>
    <n v="1"/>
    <n v="7450"/>
    <n v="7450"/>
    <s v="delivered"/>
    <s v="olabisi Kingsley"/>
    <d v="2020-12-12T00:00:00"/>
    <s v="General Trade"/>
    <x v="1"/>
  </r>
  <r>
    <d v="2020-10-12T00:00:00"/>
    <n v="2020"/>
    <x v="7"/>
    <n v="12"/>
    <x v="7"/>
    <x v="137"/>
    <x v="88"/>
    <x v="2"/>
    <x v="9"/>
    <x v="2"/>
    <x v="4"/>
    <x v="19"/>
    <n v="2"/>
    <n v="9120"/>
    <n v="18240"/>
    <s v="delivered"/>
    <s v="olabisi Kingsley"/>
    <d v="2020-12-12T00:00:00"/>
    <s v="General Trade"/>
    <x v="1"/>
  </r>
  <r>
    <d v="2020-11-12T00:00:00"/>
    <n v="2020"/>
    <x v="8"/>
    <n v="12"/>
    <x v="8"/>
    <x v="138"/>
    <x v="0"/>
    <x v="2"/>
    <x v="9"/>
    <x v="2"/>
    <x v="4"/>
    <x v="18"/>
    <n v="3"/>
    <n v="11200"/>
    <n v="33600"/>
    <s v="delivered"/>
    <s v="Maryjane Joel"/>
    <d v="2020-12-12T00:00:00"/>
    <s v="General Trade"/>
    <x v="0"/>
  </r>
  <r>
    <d v="2020-11-12T00:00:00"/>
    <n v="2020"/>
    <x v="8"/>
    <n v="12"/>
    <x v="8"/>
    <x v="138"/>
    <x v="0"/>
    <x v="2"/>
    <x v="9"/>
    <x v="2"/>
    <x v="4"/>
    <x v="27"/>
    <n v="1"/>
    <n v="9350"/>
    <n v="9350"/>
    <s v="delivered"/>
    <s v="Maryjane Joel"/>
    <d v="2020-12-12T00:00:00"/>
    <s v="General Trade"/>
    <x v="0"/>
  </r>
  <r>
    <d v="2020-11-12T00:00:00"/>
    <n v="2020"/>
    <x v="8"/>
    <n v="12"/>
    <x v="8"/>
    <x v="19"/>
    <x v="15"/>
    <x v="1"/>
    <x v="13"/>
    <x v="2"/>
    <x v="6"/>
    <x v="68"/>
    <n v="1"/>
    <n v="12400"/>
    <n v="12400"/>
    <s v="delivered"/>
    <s v="Martins oyekunle"/>
    <d v="2020-12-12T00:00:00"/>
    <s v="Wholesale"/>
    <x v="1"/>
  </r>
  <r>
    <d v="2020-11-12T00:00:00"/>
    <n v="2020"/>
    <x v="8"/>
    <n v="12"/>
    <x v="8"/>
    <x v="19"/>
    <x v="15"/>
    <x v="10"/>
    <x v="17"/>
    <x v="2"/>
    <x v="6"/>
    <x v="33"/>
    <n v="10"/>
    <n v="6750"/>
    <n v="67500"/>
    <s v="delivered"/>
    <s v="Martins oyekunle"/>
    <d v="2020-12-12T00:00:00"/>
    <s v="Wholesale"/>
    <x v="1"/>
  </r>
  <r>
    <d v="2020-11-12T00:00:00"/>
    <n v="2020"/>
    <x v="8"/>
    <n v="12"/>
    <x v="8"/>
    <x v="139"/>
    <x v="89"/>
    <x v="1"/>
    <x v="20"/>
    <x v="2"/>
    <x v="6"/>
    <x v="69"/>
    <n v="1"/>
    <n v="3750"/>
    <n v="3750"/>
    <s v="delivered"/>
    <s v="Imegwa Philomena"/>
    <d v="2020-12-12T00:00:00"/>
    <s v="General Trade"/>
    <x v="0"/>
  </r>
  <r>
    <d v="2020-11-12T00:00:00"/>
    <n v="2020"/>
    <x v="8"/>
    <n v="12"/>
    <x v="8"/>
    <x v="139"/>
    <x v="89"/>
    <x v="1"/>
    <x v="13"/>
    <x v="2"/>
    <x v="6"/>
    <x v="32"/>
    <n v="1"/>
    <n v="3750"/>
    <n v="3750"/>
    <s v="delivered"/>
    <s v="Imegwa Philomena"/>
    <d v="2020-12-12T00:00:00"/>
    <s v="General Trade"/>
    <x v="0"/>
  </r>
  <r>
    <d v="2020-11-12T00:00:00"/>
    <n v="2020"/>
    <x v="8"/>
    <n v="12"/>
    <x v="8"/>
    <x v="139"/>
    <x v="89"/>
    <x v="2"/>
    <x v="10"/>
    <x v="2"/>
    <x v="5"/>
    <x v="39"/>
    <n v="0.25"/>
    <n v="7050"/>
    <n v="1762.5"/>
    <s v="delivered"/>
    <s v="Imegwa Philomena"/>
    <d v="2020-12-12T00:00:00"/>
    <s v="General Trade"/>
    <x v="0"/>
  </r>
  <r>
    <d v="2020-11-12T00:00:00"/>
    <n v="2020"/>
    <x v="8"/>
    <n v="12"/>
    <x v="8"/>
    <x v="140"/>
    <x v="25"/>
    <x v="10"/>
    <x v="17"/>
    <x v="2"/>
    <x v="6"/>
    <x v="35"/>
    <n v="2"/>
    <n v="8500"/>
    <n v="17000"/>
    <s v="delivered"/>
    <s v="Martins Obafemi"/>
    <d v="2020-12-12T00:00:00"/>
    <s v="Wholesale"/>
    <x v="1"/>
  </r>
  <r>
    <d v="2020-11-12T00:00:00"/>
    <n v="2020"/>
    <x v="8"/>
    <n v="12"/>
    <x v="8"/>
    <x v="140"/>
    <x v="25"/>
    <x v="2"/>
    <x v="9"/>
    <x v="2"/>
    <x v="4"/>
    <x v="28"/>
    <n v="1"/>
    <n v="10050"/>
    <n v="10050"/>
    <s v="delivered"/>
    <s v="Martins Obafemi"/>
    <d v="2020-12-12T00:00:00"/>
    <s v="Wholesale"/>
    <x v="1"/>
  </r>
  <r>
    <d v="2020-11-12T00:00:00"/>
    <n v="2020"/>
    <x v="8"/>
    <n v="12"/>
    <x v="8"/>
    <x v="140"/>
    <x v="25"/>
    <x v="2"/>
    <x v="10"/>
    <x v="2"/>
    <x v="5"/>
    <x v="20"/>
    <n v="2"/>
    <n v="7450"/>
    <n v="14900"/>
    <s v="delivered"/>
    <s v="Martins Obafemi"/>
    <d v="2020-12-12T00:00:00"/>
    <s v="Wholesale"/>
    <x v="2"/>
  </r>
  <r>
    <d v="2020-11-12T00:00:00"/>
    <n v="2020"/>
    <x v="8"/>
    <n v="12"/>
    <x v="8"/>
    <x v="141"/>
    <x v="33"/>
    <x v="9"/>
    <x v="15"/>
    <x v="2"/>
    <x v="4"/>
    <x v="29"/>
    <n v="1"/>
    <n v="9050"/>
    <n v="9050"/>
    <s v="delivered"/>
    <s v="Cynthia ejike james"/>
    <d v="2020-12-12T00:00:00"/>
    <s v="General Trade"/>
    <x v="2"/>
  </r>
  <r>
    <d v="2020-11-12T00:00:00"/>
    <n v="2020"/>
    <x v="8"/>
    <n v="12"/>
    <x v="8"/>
    <x v="141"/>
    <x v="33"/>
    <x v="10"/>
    <x v="17"/>
    <x v="2"/>
    <x v="6"/>
    <x v="33"/>
    <n v="1"/>
    <n v="6750"/>
    <n v="6750"/>
    <s v="delivered"/>
    <s v="Cynthia ejike james"/>
    <d v="2020-12-12T00:00:00"/>
    <s v="General Trade"/>
    <x v="2"/>
  </r>
  <r>
    <d v="2020-11-12T00:00:00"/>
    <n v="2020"/>
    <x v="8"/>
    <n v="12"/>
    <x v="8"/>
    <x v="141"/>
    <x v="33"/>
    <x v="2"/>
    <x v="9"/>
    <x v="2"/>
    <x v="4"/>
    <x v="19"/>
    <n v="2"/>
    <n v="9150"/>
    <n v="18300"/>
    <s v="delivered"/>
    <s v="Cynthia ejike james"/>
    <d v="2020-12-12T00:00:00"/>
    <s v="General Trade"/>
    <x v="2"/>
  </r>
  <r>
    <d v="2020-11-12T00:00:00"/>
    <n v="2020"/>
    <x v="8"/>
    <n v="12"/>
    <x v="8"/>
    <x v="142"/>
    <x v="90"/>
    <x v="2"/>
    <x v="9"/>
    <x v="2"/>
    <x v="4"/>
    <x v="18"/>
    <n v="3"/>
    <n v="11200"/>
    <n v="33600"/>
    <s v="delivered"/>
    <s v="Martins oyekunle"/>
    <d v="2020-12-12T00:00:00"/>
    <s v="Modern Trade"/>
    <x v="2"/>
  </r>
  <r>
    <d v="2020-11-12T00:00:00"/>
    <n v="2020"/>
    <x v="8"/>
    <n v="12"/>
    <x v="8"/>
    <x v="142"/>
    <x v="90"/>
    <x v="16"/>
    <x v="28"/>
    <x v="2"/>
    <x v="13"/>
    <x v="67"/>
    <n v="2"/>
    <n v="4200"/>
    <n v="8400"/>
    <s v="delivered"/>
    <s v="Martins oyekunle"/>
    <d v="2020-12-12T00:00:00"/>
    <s v="Modern Trade"/>
    <x v="2"/>
  </r>
  <r>
    <d v="2020-11-12T00:00:00"/>
    <n v="2020"/>
    <x v="8"/>
    <n v="12"/>
    <x v="8"/>
    <x v="143"/>
    <x v="41"/>
    <x v="16"/>
    <x v="28"/>
    <x v="2"/>
    <x v="13"/>
    <x v="65"/>
    <n v="2"/>
    <n v="4200"/>
    <n v="8400"/>
    <s v="delivered"/>
    <s v="Titi Bishop"/>
    <d v="2020-12-12T00:00:00"/>
    <s v="General Trade"/>
    <x v="2"/>
  </r>
  <r>
    <d v="2020-11-12T00:00:00"/>
    <n v="2020"/>
    <x v="8"/>
    <n v="12"/>
    <x v="8"/>
    <x v="143"/>
    <x v="41"/>
    <x v="16"/>
    <x v="28"/>
    <x v="2"/>
    <x v="13"/>
    <x v="67"/>
    <n v="1"/>
    <n v="4200"/>
    <n v="4200"/>
    <s v="delivered"/>
    <s v="Titi Bishop"/>
    <d v="2020-12-12T00:00:00"/>
    <s v="General Trade"/>
    <x v="2"/>
  </r>
  <r>
    <d v="2020-11-12T00:00:00"/>
    <n v="2020"/>
    <x v="8"/>
    <n v="12"/>
    <x v="8"/>
    <x v="143"/>
    <x v="41"/>
    <x v="8"/>
    <x v="14"/>
    <x v="2"/>
    <x v="5"/>
    <x v="24"/>
    <n v="1"/>
    <n v="2000"/>
    <n v="2000"/>
    <s v="delivered"/>
    <s v="Titi Bishop"/>
    <d v="2020-12-12T00:00:00"/>
    <s v="General Trade"/>
    <x v="2"/>
  </r>
  <r>
    <d v="2020-11-12T00:00:00"/>
    <n v="2020"/>
    <x v="8"/>
    <n v="12"/>
    <x v="8"/>
    <x v="144"/>
    <x v="44"/>
    <x v="10"/>
    <x v="17"/>
    <x v="2"/>
    <x v="6"/>
    <x v="33"/>
    <n v="1"/>
    <n v="6750"/>
    <n v="6750"/>
    <s v="delivered"/>
    <s v="Ibukun Patrick"/>
    <d v="2020-12-12T00:00:00"/>
    <s v="General Trade"/>
    <x v="2"/>
  </r>
  <r>
    <d v="2020-11-12T00:00:00"/>
    <n v="2020"/>
    <x v="8"/>
    <n v="12"/>
    <x v="8"/>
    <x v="144"/>
    <x v="44"/>
    <x v="1"/>
    <x v="13"/>
    <x v="2"/>
    <x v="6"/>
    <x v="68"/>
    <n v="1"/>
    <n v="12400"/>
    <n v="12400"/>
    <s v="delivered"/>
    <s v="Ibukun Patrick"/>
    <d v="2020-12-12T00:00:00"/>
    <s v="General Trade"/>
    <x v="2"/>
  </r>
  <r>
    <d v="2020-11-12T00:00:00"/>
    <n v="2020"/>
    <x v="8"/>
    <n v="12"/>
    <x v="8"/>
    <x v="145"/>
    <x v="91"/>
    <x v="10"/>
    <x v="17"/>
    <x v="2"/>
    <x v="6"/>
    <x v="33"/>
    <n v="1"/>
    <n v="6750"/>
    <n v="6750"/>
    <s v="delivered"/>
    <s v="Rayo Enoch"/>
    <d v="2020-12-12T00:00:00"/>
    <s v="General Trade"/>
    <x v="2"/>
  </r>
  <r>
    <d v="2020-11-12T00:00:00"/>
    <n v="2020"/>
    <x v="8"/>
    <n v="12"/>
    <x v="8"/>
    <x v="145"/>
    <x v="91"/>
    <x v="10"/>
    <x v="17"/>
    <x v="2"/>
    <x v="6"/>
    <x v="35"/>
    <n v="0.5"/>
    <n v="8500"/>
    <n v="4250"/>
    <s v="delivered"/>
    <s v="Rayo Enoch"/>
    <d v="2020-12-12T00:00:00"/>
    <s v="General Trade"/>
    <x v="2"/>
  </r>
  <r>
    <d v="2020-11-12T00:00:00"/>
    <n v="2020"/>
    <x v="8"/>
    <n v="12"/>
    <x v="8"/>
    <x v="145"/>
    <x v="91"/>
    <x v="9"/>
    <x v="15"/>
    <x v="2"/>
    <x v="4"/>
    <x v="29"/>
    <n v="0.5"/>
    <n v="9050"/>
    <n v="4525"/>
    <s v="delivered"/>
    <s v="Rayo Enoch"/>
    <d v="2020-12-12T00:00:00"/>
    <s v="General Trade"/>
    <x v="2"/>
  </r>
  <r>
    <d v="2020-11-12T00:00:00"/>
    <n v="2020"/>
    <x v="8"/>
    <n v="12"/>
    <x v="8"/>
    <x v="145"/>
    <x v="91"/>
    <x v="9"/>
    <x v="15"/>
    <x v="2"/>
    <x v="4"/>
    <x v="40"/>
    <n v="0.5"/>
    <n v="11150"/>
    <n v="5575"/>
    <s v="delivered"/>
    <s v="Rayo Enoch"/>
    <d v="2020-12-12T00:00:00"/>
    <s v="General Trade"/>
    <x v="2"/>
  </r>
  <r>
    <d v="2020-11-12T00:00:00"/>
    <n v="2020"/>
    <x v="8"/>
    <n v="12"/>
    <x v="8"/>
    <x v="145"/>
    <x v="91"/>
    <x v="2"/>
    <x v="10"/>
    <x v="2"/>
    <x v="5"/>
    <x v="39"/>
    <n v="1"/>
    <n v="7050"/>
    <n v="7050"/>
    <s v="delivered"/>
    <s v="Rayo Enoch"/>
    <d v="2020-12-12T00:00:00"/>
    <s v="General Trade"/>
    <x v="2"/>
  </r>
  <r>
    <d v="2020-11-12T00:00:00"/>
    <n v="2020"/>
    <x v="8"/>
    <n v="12"/>
    <x v="8"/>
    <x v="146"/>
    <x v="27"/>
    <x v="2"/>
    <x v="9"/>
    <x v="2"/>
    <x v="4"/>
    <x v="19"/>
    <n v="2"/>
    <n v="9150"/>
    <n v="18300"/>
    <s v="delivered"/>
    <s v="Bernice Segs"/>
    <d v="2020-12-12T00:00:00"/>
    <s v="General Trade"/>
    <x v="2"/>
  </r>
  <r>
    <d v="2020-11-12T00:00:00"/>
    <n v="2020"/>
    <x v="8"/>
    <n v="12"/>
    <x v="8"/>
    <x v="146"/>
    <x v="27"/>
    <x v="2"/>
    <x v="10"/>
    <x v="2"/>
    <x v="5"/>
    <x v="39"/>
    <n v="1"/>
    <n v="7050"/>
    <n v="7050"/>
    <s v="delivered"/>
    <s v="Bernice Segs"/>
    <d v="2020-12-12T00:00:00"/>
    <s v="General Trade"/>
    <x v="1"/>
  </r>
  <r>
    <d v="2020-11-12T00:00:00"/>
    <n v="2020"/>
    <x v="8"/>
    <n v="12"/>
    <x v="8"/>
    <x v="146"/>
    <x v="27"/>
    <x v="17"/>
    <x v="29"/>
    <x v="2"/>
    <x v="5"/>
    <x v="66"/>
    <n v="2"/>
    <n v="1550"/>
    <n v="3100"/>
    <s v="delivered"/>
    <s v="Bernice Segs"/>
    <d v="2020-12-12T00:00:00"/>
    <s v="General Trade"/>
    <x v="1"/>
  </r>
  <r>
    <d v="2020-11-12T00:00:00"/>
    <n v="2020"/>
    <x v="8"/>
    <n v="12"/>
    <x v="8"/>
    <x v="147"/>
    <x v="73"/>
    <x v="2"/>
    <x v="10"/>
    <x v="2"/>
    <x v="5"/>
    <x v="39"/>
    <n v="10"/>
    <n v="7050"/>
    <n v="70500"/>
    <s v="delivered"/>
    <s v="Tife Chibunnam"/>
    <d v="2020-12-12T00:00:00"/>
    <s v="General Trade"/>
    <x v="1"/>
  </r>
  <r>
    <d v="2020-11-12T00:00:00"/>
    <n v="2020"/>
    <x v="8"/>
    <n v="12"/>
    <x v="8"/>
    <x v="148"/>
    <x v="28"/>
    <x v="2"/>
    <x v="9"/>
    <x v="2"/>
    <x v="4"/>
    <x v="18"/>
    <n v="2"/>
    <n v="11200"/>
    <n v="22400"/>
    <s v="delivered"/>
    <s v="Esther Victor"/>
    <d v="2020-12-12T00:00:00"/>
    <s v="General Trade"/>
    <x v="0"/>
  </r>
  <r>
    <d v="2020-11-12T00:00:00"/>
    <n v="2020"/>
    <x v="8"/>
    <n v="12"/>
    <x v="8"/>
    <x v="148"/>
    <x v="28"/>
    <x v="10"/>
    <x v="17"/>
    <x v="2"/>
    <x v="6"/>
    <x v="35"/>
    <n v="2"/>
    <n v="8500"/>
    <n v="17000"/>
    <s v="delivered"/>
    <s v="Esther Victor"/>
    <d v="2020-12-12T00:00:00"/>
    <s v="General Trade"/>
    <x v="0"/>
  </r>
  <r>
    <d v="2020-11-12T00:00:00"/>
    <n v="2020"/>
    <x v="8"/>
    <n v="12"/>
    <x v="8"/>
    <x v="149"/>
    <x v="42"/>
    <x v="2"/>
    <x v="10"/>
    <x v="2"/>
    <x v="5"/>
    <x v="39"/>
    <n v="15"/>
    <n v="7050"/>
    <n v="105750"/>
    <s v="delivered"/>
    <s v="Hellen Prince"/>
    <d v="2020-12-12T00:00:00"/>
    <s v="General Trade"/>
    <x v="1"/>
  </r>
  <r>
    <d v="2020-11-12T00:00:00"/>
    <n v="2020"/>
    <x v="8"/>
    <n v="12"/>
    <x v="8"/>
    <x v="150"/>
    <x v="42"/>
    <x v="9"/>
    <x v="15"/>
    <x v="2"/>
    <x v="4"/>
    <x v="29"/>
    <n v="5"/>
    <n v="9050"/>
    <n v="45250"/>
    <s v="delivered"/>
    <s v="Hellen Prince"/>
    <d v="2020-12-12T00:00:00"/>
    <s v="General Trade"/>
    <x v="1"/>
  </r>
  <r>
    <d v="2020-11-12T00:00:00"/>
    <n v="2020"/>
    <x v="8"/>
    <n v="12"/>
    <x v="8"/>
    <x v="151"/>
    <x v="42"/>
    <x v="2"/>
    <x v="10"/>
    <x v="2"/>
    <x v="5"/>
    <x v="39"/>
    <n v="10"/>
    <n v="7050"/>
    <n v="70500"/>
    <s v="delivered"/>
    <s v="Hellen Prince"/>
    <d v="2020-12-12T00:00:00"/>
    <s v="General Trade"/>
    <x v="1"/>
  </r>
  <r>
    <d v="2020-11-12T00:00:00"/>
    <n v="2020"/>
    <x v="8"/>
    <n v="12"/>
    <x v="8"/>
    <x v="151"/>
    <x v="42"/>
    <x v="11"/>
    <x v="18"/>
    <x v="2"/>
    <x v="8"/>
    <x v="36"/>
    <n v="5"/>
    <n v="4200"/>
    <n v="21000"/>
    <s v="delivered"/>
    <s v="Hellen Prince"/>
    <d v="2020-12-12T00:00:00"/>
    <s v="General Trade"/>
    <x v="1"/>
  </r>
  <r>
    <d v="2020-11-12T00:00:00"/>
    <n v="2020"/>
    <x v="8"/>
    <n v="12"/>
    <x v="8"/>
    <x v="152"/>
    <x v="92"/>
    <x v="15"/>
    <x v="26"/>
    <x v="2"/>
    <x v="9"/>
    <x v="62"/>
    <n v="1"/>
    <n v="1500"/>
    <n v="1500"/>
    <s v="delivered"/>
    <s v="Chinwe Emmy"/>
    <d v="2020-12-12T00:00:00"/>
    <s v="General Trade"/>
    <x v="2"/>
  </r>
  <r>
    <d v="2020-11-12T00:00:00"/>
    <n v="2020"/>
    <x v="8"/>
    <n v="12"/>
    <x v="8"/>
    <x v="152"/>
    <x v="92"/>
    <x v="15"/>
    <x v="26"/>
    <x v="2"/>
    <x v="9"/>
    <x v="63"/>
    <n v="1"/>
    <n v="1"/>
    <n v="1"/>
    <s v="delivered"/>
    <s v="Chinwe Emmy"/>
    <d v="2020-12-12T00:00:00"/>
    <s v="General Trade"/>
    <x v="2"/>
  </r>
  <r>
    <d v="2020-11-12T00:00:00"/>
    <n v="2020"/>
    <x v="8"/>
    <n v="12"/>
    <x v="8"/>
    <x v="20"/>
    <x v="16"/>
    <x v="2"/>
    <x v="9"/>
    <x v="2"/>
    <x v="4"/>
    <x v="18"/>
    <n v="1"/>
    <n v="11200"/>
    <n v="11200"/>
    <s v="delivered"/>
    <s v="Dolly yanju"/>
    <d v="2020-12-12T00:00:00"/>
    <s v="General Trade"/>
    <x v="2"/>
  </r>
  <r>
    <d v="2020-11-12T00:00:00"/>
    <n v="2020"/>
    <x v="8"/>
    <n v="12"/>
    <x v="8"/>
    <x v="20"/>
    <x v="16"/>
    <x v="1"/>
    <x v="13"/>
    <x v="2"/>
    <x v="6"/>
    <x v="70"/>
    <n v="1"/>
    <n v="14700"/>
    <n v="14700"/>
    <s v="delivered"/>
    <s v="Dolly yanju"/>
    <d v="2020-12-12T00:00:00"/>
    <s v="General Trade"/>
    <x v="2"/>
  </r>
  <r>
    <d v="2020-11-12T00:00:00"/>
    <n v="2020"/>
    <x v="8"/>
    <n v="12"/>
    <x v="8"/>
    <x v="20"/>
    <x v="16"/>
    <x v="10"/>
    <x v="17"/>
    <x v="2"/>
    <x v="6"/>
    <x v="47"/>
    <n v="0.5"/>
    <n v="19170"/>
    <n v="9585"/>
    <s v="delivered"/>
    <s v="Dolly yanju"/>
    <d v="2020-12-12T00:00:00"/>
    <s v="General Trade"/>
    <x v="2"/>
  </r>
  <r>
    <d v="2020-11-12T00:00:00"/>
    <n v="2020"/>
    <x v="8"/>
    <n v="12"/>
    <x v="8"/>
    <x v="20"/>
    <x v="16"/>
    <x v="10"/>
    <x v="17"/>
    <x v="2"/>
    <x v="6"/>
    <x v="35"/>
    <n v="1"/>
    <n v="8500"/>
    <n v="8500"/>
    <s v="delivered"/>
    <s v="Dolly yanju"/>
    <d v="2020-12-12T00:00:00"/>
    <s v="General Trade"/>
    <x v="2"/>
  </r>
  <r>
    <d v="2020-11-12T00:00:00"/>
    <n v="2020"/>
    <x v="8"/>
    <n v="12"/>
    <x v="8"/>
    <x v="20"/>
    <x v="16"/>
    <x v="10"/>
    <x v="17"/>
    <x v="2"/>
    <x v="6"/>
    <x v="33"/>
    <n v="1"/>
    <n v="6750"/>
    <n v="6750"/>
    <s v="delivered"/>
    <s v="Dolly yanju"/>
    <d v="2020-12-12T00:00:00"/>
    <s v="General Trade"/>
    <x v="1"/>
  </r>
  <r>
    <d v="2020-11-12T00:00:00"/>
    <n v="2020"/>
    <x v="8"/>
    <n v="12"/>
    <x v="8"/>
    <x v="20"/>
    <x v="16"/>
    <x v="10"/>
    <x v="22"/>
    <x v="2"/>
    <x v="6"/>
    <x v="48"/>
    <n v="0.5"/>
    <n v="23680"/>
    <n v="11840"/>
    <s v="delivered"/>
    <s v="Dolly yanju"/>
    <d v="2020-12-12T00:00:00"/>
    <s v="General Trade"/>
    <x v="1"/>
  </r>
  <r>
    <d v="2020-11-12T00:00:00"/>
    <n v="2020"/>
    <x v="8"/>
    <n v="12"/>
    <x v="8"/>
    <x v="153"/>
    <x v="93"/>
    <x v="1"/>
    <x v="13"/>
    <x v="2"/>
    <x v="6"/>
    <x v="57"/>
    <n v="2"/>
    <n v="9100"/>
    <n v="18200"/>
    <s v="delivered"/>
    <s v="Mietra Azubuike"/>
    <d v="2020-12-12T00:00:00"/>
    <s v="General Trade"/>
    <x v="1"/>
  </r>
  <r>
    <d v="2020-12-12T00:00:00"/>
    <n v="2020"/>
    <x v="11"/>
    <n v="12"/>
    <x v="11"/>
    <x v="30"/>
    <x v="26"/>
    <x v="6"/>
    <x v="11"/>
    <x v="2"/>
    <x v="6"/>
    <x v="34"/>
    <n v="1"/>
    <n v="8500"/>
    <n v="8500"/>
    <s v="delivered"/>
    <s v="Imegwa Philomena"/>
    <s v="12/14/2020"/>
    <s v="Wholesale"/>
    <x v="1"/>
  </r>
  <r>
    <d v="2020-12-12T00:00:00"/>
    <n v="2020"/>
    <x v="11"/>
    <n v="12"/>
    <x v="11"/>
    <x v="30"/>
    <x v="26"/>
    <x v="6"/>
    <x v="11"/>
    <x v="2"/>
    <x v="6"/>
    <x v="21"/>
    <n v="1"/>
    <n v="7800"/>
    <n v="7800"/>
    <s v="delivered"/>
    <s v="Imegwa Philomena"/>
    <s v="12/14/2020"/>
    <s v="Wholesale"/>
    <x v="1"/>
  </r>
  <r>
    <d v="2020-12-12T00:00:00"/>
    <n v="2020"/>
    <x v="11"/>
    <n v="12"/>
    <x v="11"/>
    <x v="30"/>
    <x v="26"/>
    <x v="1"/>
    <x v="20"/>
    <x v="2"/>
    <x v="6"/>
    <x v="69"/>
    <n v="3"/>
    <n v="3750"/>
    <n v="11250"/>
    <s v="delivered"/>
    <s v="Imegwa Philomena"/>
    <s v="12/14/2020"/>
    <s v="Wholesale"/>
    <x v="2"/>
  </r>
  <r>
    <d v="2020-12-12T00:00:00"/>
    <n v="2020"/>
    <x v="11"/>
    <n v="12"/>
    <x v="11"/>
    <x v="30"/>
    <x v="26"/>
    <x v="15"/>
    <x v="26"/>
    <x v="2"/>
    <x v="9"/>
    <x v="63"/>
    <n v="1"/>
    <n v="1"/>
    <n v="1"/>
    <s v="delivered"/>
    <s v="Imegwa Philomena"/>
    <s v="12/14/2020"/>
    <s v="Wholesale"/>
    <x v="2"/>
  </r>
  <r>
    <d v="2020-12-12T00:00:00"/>
    <n v="2020"/>
    <x v="11"/>
    <n v="12"/>
    <x v="11"/>
    <x v="30"/>
    <x v="26"/>
    <x v="15"/>
    <x v="26"/>
    <x v="2"/>
    <x v="9"/>
    <x v="62"/>
    <n v="2"/>
    <n v="1500"/>
    <n v="3000"/>
    <s v="delivered"/>
    <s v="Imegwa Philomena"/>
    <s v="12/14/2020"/>
    <s v="Wholesale"/>
    <x v="2"/>
  </r>
  <r>
    <d v="2020-12-12T00:00:00"/>
    <n v="2020"/>
    <x v="11"/>
    <n v="12"/>
    <x v="11"/>
    <x v="154"/>
    <x v="94"/>
    <x v="2"/>
    <x v="10"/>
    <x v="2"/>
    <x v="5"/>
    <x v="39"/>
    <n v="4"/>
    <n v="7050"/>
    <n v="28200"/>
    <s v="delivered"/>
    <s v="Chinonso Micheal"/>
    <s v="12/14/2020"/>
    <s v="General Trade"/>
    <x v="0"/>
  </r>
  <r>
    <d v="2020-12-12T00:00:00"/>
    <n v="2020"/>
    <x v="11"/>
    <n v="12"/>
    <x v="11"/>
    <x v="154"/>
    <x v="94"/>
    <x v="1"/>
    <x v="20"/>
    <x v="2"/>
    <x v="6"/>
    <x v="69"/>
    <n v="4"/>
    <n v="3750"/>
    <n v="15000"/>
    <s v="delivered"/>
    <s v="Chinonso Micheal"/>
    <s v="12/14/2020"/>
    <s v="General Trade"/>
    <x v="0"/>
  </r>
  <r>
    <d v="2020-12-12T00:00:00"/>
    <n v="2020"/>
    <x v="11"/>
    <n v="12"/>
    <x v="11"/>
    <x v="155"/>
    <x v="95"/>
    <x v="15"/>
    <x v="26"/>
    <x v="2"/>
    <x v="9"/>
    <x v="62"/>
    <n v="1"/>
    <n v="1500"/>
    <n v="1500"/>
    <s v="delivered"/>
    <s v="Oluchi monday"/>
    <s v="12/14/2020"/>
    <s v="General Trade"/>
    <x v="2"/>
  </r>
  <r>
    <d v="2020-12-12T00:00:00"/>
    <n v="2020"/>
    <x v="11"/>
    <n v="12"/>
    <x v="11"/>
    <x v="155"/>
    <x v="95"/>
    <x v="15"/>
    <x v="26"/>
    <x v="2"/>
    <x v="9"/>
    <x v="63"/>
    <n v="1"/>
    <n v="1"/>
    <n v="1"/>
    <s v="delivered"/>
    <s v="Oluchi monday"/>
    <s v="12/14/2020"/>
    <s v="General Trade"/>
    <x v="2"/>
  </r>
  <r>
    <d v="2020-12-12T00:00:00"/>
    <n v="2020"/>
    <x v="11"/>
    <n v="12"/>
    <x v="11"/>
    <x v="156"/>
    <x v="96"/>
    <x v="9"/>
    <x v="15"/>
    <x v="2"/>
    <x v="4"/>
    <x v="40"/>
    <n v="1"/>
    <n v="11150"/>
    <n v="11150"/>
    <s v="delivered"/>
    <s v="Waajidah vincent"/>
    <s v="12/14/2020"/>
    <s v="General Trade"/>
    <x v="2"/>
  </r>
  <r>
    <d v="2020-12-12T00:00:00"/>
    <n v="2020"/>
    <x v="11"/>
    <n v="12"/>
    <x v="11"/>
    <x v="156"/>
    <x v="96"/>
    <x v="2"/>
    <x v="9"/>
    <x v="2"/>
    <x v="4"/>
    <x v="19"/>
    <n v="1"/>
    <n v="9150"/>
    <n v="9150"/>
    <s v="delivered"/>
    <s v="Waajidah vincent"/>
    <s v="12/14/2020"/>
    <s v="General Trade"/>
    <x v="2"/>
  </r>
  <r>
    <d v="2020-12-12T00:00:00"/>
    <n v="2020"/>
    <x v="11"/>
    <n v="12"/>
    <x v="11"/>
    <x v="156"/>
    <x v="96"/>
    <x v="1"/>
    <x v="13"/>
    <x v="2"/>
    <x v="6"/>
    <x v="23"/>
    <n v="1"/>
    <n v="1860"/>
    <n v="1860"/>
    <s v="delivered"/>
    <s v="Waajidah vincent"/>
    <s v="12/14/2020"/>
    <s v="General Trade"/>
    <x v="2"/>
  </r>
  <r>
    <d v="2020-12-12T00:00:00"/>
    <n v="2020"/>
    <x v="11"/>
    <n v="12"/>
    <x v="11"/>
    <x v="156"/>
    <x v="96"/>
    <x v="1"/>
    <x v="20"/>
    <x v="2"/>
    <x v="6"/>
    <x v="69"/>
    <n v="2"/>
    <n v="3750"/>
    <n v="7500"/>
    <s v="delivered"/>
    <s v="Waajidah vincent"/>
    <s v="12/14/2020"/>
    <s v="General Trade"/>
    <x v="2"/>
  </r>
  <r>
    <d v="2020-12-12T00:00:00"/>
    <n v="2020"/>
    <x v="11"/>
    <n v="12"/>
    <x v="11"/>
    <x v="156"/>
    <x v="96"/>
    <x v="11"/>
    <x v="18"/>
    <x v="2"/>
    <x v="8"/>
    <x v="46"/>
    <n v="2"/>
    <n v="2780"/>
    <n v="5560"/>
    <s v="delivered"/>
    <s v="Waajidah vincent"/>
    <s v="12/14/2020"/>
    <s v="General Trade"/>
    <x v="2"/>
  </r>
  <r>
    <d v="2020-11-12T00:00:00"/>
    <n v="2020"/>
    <x v="8"/>
    <n v="12"/>
    <x v="8"/>
    <x v="157"/>
    <x v="97"/>
    <x v="15"/>
    <x v="26"/>
    <x v="2"/>
    <x v="9"/>
    <x v="63"/>
    <n v="1"/>
    <n v="1"/>
    <n v="1"/>
    <s v="delivered"/>
    <s v="Jennifer stephen"/>
    <s v="12/14/2020"/>
    <s v="Wholesale"/>
    <x v="2"/>
  </r>
  <r>
    <d v="2020-11-12T00:00:00"/>
    <n v="2020"/>
    <x v="8"/>
    <n v="12"/>
    <x v="8"/>
    <x v="157"/>
    <x v="97"/>
    <x v="15"/>
    <x v="26"/>
    <x v="2"/>
    <x v="9"/>
    <x v="62"/>
    <n v="1"/>
    <n v="1500"/>
    <n v="1500"/>
    <s v="delivered"/>
    <s v="Jennifer stephen"/>
    <s v="12/14/2020"/>
    <s v="Wholesale"/>
    <x v="2"/>
  </r>
  <r>
    <d v="2020-04-12T00:00:00"/>
    <n v="2020"/>
    <x v="3"/>
    <n v="12"/>
    <x v="3"/>
    <x v="158"/>
    <x v="98"/>
    <x v="11"/>
    <x v="18"/>
    <x v="2"/>
    <x v="8"/>
    <x v="46"/>
    <n v="30"/>
    <n v="2780"/>
    <n v="83400"/>
    <s v="delivered"/>
    <s v="Gem ABRAHAM"/>
    <s v="12/14/2020"/>
    <s v="Wholesale"/>
    <x v="0"/>
  </r>
  <r>
    <d v="2020-04-12T00:00:00"/>
    <n v="2020"/>
    <x v="3"/>
    <n v="12"/>
    <x v="3"/>
    <x v="159"/>
    <x v="98"/>
    <x v="11"/>
    <x v="18"/>
    <x v="2"/>
    <x v="8"/>
    <x v="58"/>
    <n v="15"/>
    <n v="2080"/>
    <n v="31200"/>
    <s v="delivered"/>
    <s v="Gem ABRAHAM"/>
    <s v="12/14/2020"/>
    <s v="Wholesale"/>
    <x v="0"/>
  </r>
  <r>
    <d v="2020-12-12T00:00:00"/>
    <n v="2020"/>
    <x v="11"/>
    <n v="12"/>
    <x v="11"/>
    <x v="160"/>
    <x v="99"/>
    <x v="2"/>
    <x v="9"/>
    <x v="2"/>
    <x v="4"/>
    <x v="19"/>
    <n v="1"/>
    <n v="9150"/>
    <n v="9150"/>
    <s v="delivered"/>
    <s v="Martins Obafemi"/>
    <s v="12/14/2020"/>
    <s v="General Trade"/>
    <x v="1"/>
  </r>
  <r>
    <d v="2020-12-12T00:00:00"/>
    <n v="2020"/>
    <x v="11"/>
    <n v="12"/>
    <x v="11"/>
    <x v="160"/>
    <x v="99"/>
    <x v="7"/>
    <x v="12"/>
    <x v="2"/>
    <x v="7"/>
    <x v="22"/>
    <n v="1"/>
    <n v="3000"/>
    <n v="3000"/>
    <s v="delivered"/>
    <s v="Martins Obafemi"/>
    <s v="12/14/2020"/>
    <s v="General Trade"/>
    <x v="1"/>
  </r>
  <r>
    <d v="2020-12-12T00:00:00"/>
    <n v="2020"/>
    <x v="11"/>
    <n v="12"/>
    <x v="11"/>
    <x v="160"/>
    <x v="99"/>
    <x v="10"/>
    <x v="17"/>
    <x v="2"/>
    <x v="6"/>
    <x v="33"/>
    <n v="2"/>
    <n v="6750"/>
    <n v="13500"/>
    <s v="delivered"/>
    <s v="Martins Obafemi"/>
    <s v="12/14/2020"/>
    <s v="General Trade"/>
    <x v="1"/>
  </r>
  <r>
    <d v="2020-12-12T00:00:00"/>
    <n v="2020"/>
    <x v="11"/>
    <n v="12"/>
    <x v="11"/>
    <x v="160"/>
    <x v="99"/>
    <x v="8"/>
    <x v="21"/>
    <x v="2"/>
    <x v="10"/>
    <x v="45"/>
    <n v="2"/>
    <n v="3300"/>
    <n v="6600"/>
    <s v="delivered"/>
    <s v="Martins Obafemi"/>
    <s v="12/14/2020"/>
    <s v="General Trade"/>
    <x v="1"/>
  </r>
  <r>
    <d v="2020-12-12T00:00:00"/>
    <n v="2020"/>
    <x v="11"/>
    <n v="12"/>
    <x v="11"/>
    <x v="161"/>
    <x v="100"/>
    <x v="15"/>
    <x v="26"/>
    <x v="2"/>
    <x v="9"/>
    <x v="63"/>
    <n v="1"/>
    <n v="1"/>
    <n v="1"/>
    <s v="delivered"/>
    <s v="Ofegha Toluwalase"/>
    <s v="12/14/2020"/>
    <s v="General Trade"/>
    <x v="1"/>
  </r>
  <r>
    <d v="2020-12-12T00:00:00"/>
    <n v="2020"/>
    <x v="11"/>
    <n v="12"/>
    <x v="11"/>
    <x v="161"/>
    <x v="100"/>
    <x v="15"/>
    <x v="26"/>
    <x v="2"/>
    <x v="9"/>
    <x v="62"/>
    <n v="1"/>
    <n v="1500"/>
    <n v="1500"/>
    <s v="delivered"/>
    <s v="Ofegha Toluwalase"/>
    <s v="12/14/2020"/>
    <s v="General Trade"/>
    <x v="1"/>
  </r>
  <r>
    <d v="2020-11-12T00:00:00"/>
    <n v="2020"/>
    <x v="8"/>
    <n v="12"/>
    <x v="8"/>
    <x v="162"/>
    <x v="0"/>
    <x v="7"/>
    <x v="12"/>
    <x v="2"/>
    <x v="7"/>
    <x v="22"/>
    <n v="10"/>
    <n v="3000"/>
    <n v="30000"/>
    <s v="delivered"/>
    <s v="Maryjane Joel"/>
    <s v="12/14/2020"/>
    <s v="General Trade"/>
    <x v="0"/>
  </r>
  <r>
    <d v="2020-11-12T00:00:00"/>
    <n v="2020"/>
    <x v="8"/>
    <n v="12"/>
    <x v="8"/>
    <x v="162"/>
    <x v="0"/>
    <x v="7"/>
    <x v="12"/>
    <x v="2"/>
    <x v="7"/>
    <x v="25"/>
    <n v="10"/>
    <n v="3000"/>
    <n v="30000"/>
    <s v="delivered"/>
    <s v="Maryjane Joel"/>
    <s v="12/14/2020"/>
    <s v="General Trade"/>
    <x v="0"/>
  </r>
  <r>
    <d v="2020-12-12T00:00:00"/>
    <n v="2020"/>
    <x v="11"/>
    <n v="12"/>
    <x v="11"/>
    <x v="163"/>
    <x v="22"/>
    <x v="10"/>
    <x v="17"/>
    <x v="2"/>
    <x v="6"/>
    <x v="33"/>
    <n v="5"/>
    <n v="6750"/>
    <n v="33750"/>
    <s v="delivered"/>
    <s v="Nwando Godwin"/>
    <s v="12/14/2020"/>
    <s v="Wholesale"/>
    <x v="0"/>
  </r>
  <r>
    <d v="2020-12-12T00:00:00"/>
    <n v="2020"/>
    <x v="11"/>
    <n v="12"/>
    <x v="11"/>
    <x v="164"/>
    <x v="82"/>
    <x v="1"/>
    <x v="13"/>
    <x v="2"/>
    <x v="6"/>
    <x v="32"/>
    <n v="1"/>
    <n v="3750"/>
    <n v="3750"/>
    <s v="delivered"/>
    <s v="Perfect MASTER LIGHT"/>
    <s v="12/14/2020"/>
    <s v="General Trade"/>
    <x v="1"/>
  </r>
  <r>
    <d v="2020-12-12T00:00:00"/>
    <n v="2020"/>
    <x v="11"/>
    <n v="12"/>
    <x v="11"/>
    <x v="164"/>
    <x v="82"/>
    <x v="1"/>
    <x v="20"/>
    <x v="2"/>
    <x v="6"/>
    <x v="69"/>
    <n v="1"/>
    <n v="3750"/>
    <n v="3750"/>
    <s v="delivered"/>
    <s v="Perfect MASTER LIGHT"/>
    <s v="12/14/2020"/>
    <s v="General Trade"/>
    <x v="1"/>
  </r>
  <r>
    <d v="2020-12-12T00:00:00"/>
    <n v="2020"/>
    <x v="11"/>
    <n v="12"/>
    <x v="11"/>
    <x v="164"/>
    <x v="82"/>
    <x v="16"/>
    <x v="28"/>
    <x v="2"/>
    <x v="13"/>
    <x v="65"/>
    <n v="1"/>
    <n v="4200"/>
    <n v="4200"/>
    <s v="delivered"/>
    <s v="Perfect MASTER LIGHT"/>
    <s v="12/14/2020"/>
    <s v="General Trade"/>
    <x v="1"/>
  </r>
  <r>
    <d v="2020-12-12T00:00:00"/>
    <n v="2020"/>
    <x v="11"/>
    <n v="12"/>
    <x v="11"/>
    <x v="165"/>
    <x v="101"/>
    <x v="15"/>
    <x v="26"/>
    <x v="2"/>
    <x v="9"/>
    <x v="63"/>
    <n v="1"/>
    <n v="1"/>
    <n v="1"/>
    <s v="delivered"/>
    <s v="Vika moussa"/>
    <s v="12/14/2020"/>
    <s v="General Trade"/>
    <x v="1"/>
  </r>
  <r>
    <d v="2020-12-12T00:00:00"/>
    <n v="2020"/>
    <x v="11"/>
    <n v="12"/>
    <x v="11"/>
    <x v="165"/>
    <x v="101"/>
    <x v="15"/>
    <x v="26"/>
    <x v="2"/>
    <x v="9"/>
    <x v="62"/>
    <n v="1"/>
    <n v="1500"/>
    <n v="1500"/>
    <s v="delivered"/>
    <s v="Vika moussa"/>
    <s v="12/14/2020"/>
    <s v="General Trade"/>
    <x v="1"/>
  </r>
  <r>
    <d v="2020-11-12T00:00:00"/>
    <n v="2020"/>
    <x v="8"/>
    <n v="12"/>
    <x v="8"/>
    <x v="166"/>
    <x v="98"/>
    <x v="11"/>
    <x v="18"/>
    <x v="2"/>
    <x v="8"/>
    <x v="36"/>
    <n v="11"/>
    <n v="4200"/>
    <n v="46200"/>
    <s v="delivered"/>
    <s v="Stephen Progress"/>
    <s v="12/14/2020"/>
    <s v="Wholesale"/>
    <x v="0"/>
  </r>
  <r>
    <d v="2020-11-12T00:00:00"/>
    <n v="2020"/>
    <x v="8"/>
    <n v="12"/>
    <x v="8"/>
    <x v="166"/>
    <x v="98"/>
    <x v="2"/>
    <x v="10"/>
    <x v="2"/>
    <x v="5"/>
    <x v="20"/>
    <n v="5"/>
    <n v="7450"/>
    <n v="37250"/>
    <s v="delivered"/>
    <s v="Stephen Progress"/>
    <s v="12/14/2020"/>
    <s v="Wholesale"/>
    <x v="0"/>
  </r>
  <r>
    <d v="2020-12-12T00:00:00"/>
    <n v="2020"/>
    <x v="11"/>
    <n v="12"/>
    <x v="11"/>
    <x v="167"/>
    <x v="98"/>
    <x v="11"/>
    <x v="18"/>
    <x v="2"/>
    <x v="8"/>
    <x v="46"/>
    <n v="10"/>
    <n v="2780"/>
    <n v="27800"/>
    <s v="delivered"/>
    <s v="Stephen Progress"/>
    <s v="12/14/2020"/>
    <s v="Wholesale"/>
    <x v="0"/>
  </r>
  <r>
    <d v="2020-12-12T00:00:00"/>
    <n v="2020"/>
    <x v="11"/>
    <n v="12"/>
    <x v="11"/>
    <x v="168"/>
    <x v="48"/>
    <x v="10"/>
    <x v="22"/>
    <x v="2"/>
    <x v="6"/>
    <x v="48"/>
    <n v="1"/>
    <n v="23680"/>
    <n v="23680"/>
    <s v="delivered"/>
    <s v="Bernice Segs"/>
    <s v="12/14/2020"/>
    <s v="General Trade"/>
    <x v="0"/>
  </r>
  <r>
    <d v="2020-12-12T00:00:00"/>
    <n v="2020"/>
    <x v="11"/>
    <n v="12"/>
    <x v="11"/>
    <x v="168"/>
    <x v="48"/>
    <x v="10"/>
    <x v="17"/>
    <x v="2"/>
    <x v="6"/>
    <x v="35"/>
    <n v="1"/>
    <n v="8500"/>
    <n v="8500"/>
    <s v="delivered"/>
    <s v="Bernice Segs"/>
    <s v="12/14/2020"/>
    <s v="General Trade"/>
    <x v="0"/>
  </r>
  <r>
    <d v="2020-12-12T00:00:00"/>
    <n v="2020"/>
    <x v="11"/>
    <n v="12"/>
    <x v="11"/>
    <x v="168"/>
    <x v="48"/>
    <x v="1"/>
    <x v="20"/>
    <x v="2"/>
    <x v="6"/>
    <x v="69"/>
    <n v="1"/>
    <n v="3750"/>
    <n v="3750"/>
    <s v="delivered"/>
    <s v="Bernice Segs"/>
    <s v="12/14/2020"/>
    <s v="General Trade"/>
    <x v="0"/>
  </r>
  <r>
    <d v="2020-12-12T00:00:00"/>
    <n v="2020"/>
    <x v="11"/>
    <n v="12"/>
    <x v="11"/>
    <x v="169"/>
    <x v="102"/>
    <x v="11"/>
    <x v="18"/>
    <x v="2"/>
    <x v="8"/>
    <x v="46"/>
    <n v="1"/>
    <n v="2780"/>
    <n v="2780"/>
    <s v="delivered"/>
    <s v="Rose kelvin"/>
    <s v="12/14/2020"/>
    <s v="General Trade"/>
    <x v="1"/>
  </r>
  <r>
    <d v="2020-12-12T00:00:00"/>
    <n v="2020"/>
    <x v="11"/>
    <n v="12"/>
    <x v="11"/>
    <x v="169"/>
    <x v="102"/>
    <x v="1"/>
    <x v="13"/>
    <x v="2"/>
    <x v="6"/>
    <x v="71"/>
    <n v="1"/>
    <n v="10650"/>
    <n v="10650"/>
    <s v="delivered"/>
    <s v="Rose kelvin"/>
    <s v="12/14/2020"/>
    <s v="General Trade"/>
    <x v="1"/>
  </r>
  <r>
    <d v="2020-12-12T00:00:00"/>
    <n v="2020"/>
    <x v="11"/>
    <n v="12"/>
    <x v="11"/>
    <x v="169"/>
    <x v="102"/>
    <x v="15"/>
    <x v="26"/>
    <x v="2"/>
    <x v="9"/>
    <x v="63"/>
    <n v="1"/>
    <n v="1"/>
    <n v="1"/>
    <s v="delivered"/>
    <s v="Rose kelvin"/>
    <s v="12/14/2020"/>
    <s v="General Trade"/>
    <x v="1"/>
  </r>
  <r>
    <d v="2020-12-12T00:00:00"/>
    <n v="2020"/>
    <x v="11"/>
    <n v="12"/>
    <x v="11"/>
    <x v="169"/>
    <x v="102"/>
    <x v="15"/>
    <x v="26"/>
    <x v="2"/>
    <x v="9"/>
    <x v="62"/>
    <n v="2"/>
    <n v="1500"/>
    <n v="3000"/>
    <s v="delivered"/>
    <s v="Rose kelvin"/>
    <s v="12/14/2020"/>
    <s v="General Trade"/>
    <x v="1"/>
  </r>
  <r>
    <d v="2020-12-12T00:00:00"/>
    <n v="2020"/>
    <x v="11"/>
    <n v="12"/>
    <x v="11"/>
    <x v="170"/>
    <x v="103"/>
    <x v="2"/>
    <x v="9"/>
    <x v="2"/>
    <x v="4"/>
    <x v="19"/>
    <n v="2"/>
    <n v="9150"/>
    <n v="18300"/>
    <s v="delivered"/>
    <s v="Anu Daniel"/>
    <s v="12/14/2020"/>
    <s v="General Trade"/>
    <x v="1"/>
  </r>
  <r>
    <d v="2020-12-12T00:00:00"/>
    <n v="2020"/>
    <x v="11"/>
    <n v="12"/>
    <x v="11"/>
    <x v="170"/>
    <x v="103"/>
    <x v="1"/>
    <x v="13"/>
    <x v="2"/>
    <x v="6"/>
    <x v="71"/>
    <n v="1"/>
    <n v="10650"/>
    <n v="10650"/>
    <s v="delivered"/>
    <s v="Anu Daniel"/>
    <s v="12/14/2020"/>
    <s v="General Trade"/>
    <x v="1"/>
  </r>
  <r>
    <d v="2020-12-12T00:00:00"/>
    <n v="2020"/>
    <x v="11"/>
    <n v="12"/>
    <x v="11"/>
    <x v="170"/>
    <x v="103"/>
    <x v="11"/>
    <x v="18"/>
    <x v="2"/>
    <x v="8"/>
    <x v="58"/>
    <n v="5"/>
    <n v="2080"/>
    <n v="10400"/>
    <s v="delivered"/>
    <s v="Anu Daniel"/>
    <s v="12/14/2020"/>
    <s v="General Trade"/>
    <x v="1"/>
  </r>
  <r>
    <d v="2020-12-12T00:00:00"/>
    <n v="2020"/>
    <x v="11"/>
    <n v="12"/>
    <x v="11"/>
    <x v="170"/>
    <x v="103"/>
    <x v="15"/>
    <x v="26"/>
    <x v="2"/>
    <x v="9"/>
    <x v="63"/>
    <n v="1"/>
    <n v="1"/>
    <n v="1"/>
    <s v="delivered"/>
    <s v="Anu Daniel"/>
    <s v="12/14/2020"/>
    <s v="General Trade"/>
    <x v="1"/>
  </r>
  <r>
    <d v="2020-12-12T00:00:00"/>
    <n v="2020"/>
    <x v="11"/>
    <n v="12"/>
    <x v="11"/>
    <x v="170"/>
    <x v="103"/>
    <x v="15"/>
    <x v="26"/>
    <x v="2"/>
    <x v="9"/>
    <x v="62"/>
    <n v="5"/>
    <n v="1500"/>
    <n v="7500"/>
    <s v="delivered"/>
    <s v="Anu Daniel"/>
    <s v="12/14/2020"/>
    <s v="General Trad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45D9B7-949B-4402-97B0-F739B71F0B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C17" firstHeaderRow="1" firstDataRow="1" firstDataCol="1"/>
  <pivotFields count="20">
    <pivotField numFmtId="14" showAll="0"/>
    <pivotField numFmtId="1" showAll="0"/>
    <pivotField numFmtId="1" showAll="0">
      <items count="13">
        <item x="0"/>
        <item x="1"/>
        <item x="2"/>
        <item x="3"/>
        <item x="4"/>
        <item x="9"/>
        <item x="5"/>
        <item x="10"/>
        <item x="6"/>
        <item x="7"/>
        <item x="8"/>
        <item x="11"/>
        <item t="default"/>
      </items>
    </pivotField>
    <pivotField numFmtId="1" showAll="0"/>
    <pivotField axis="axisRow" showAll="0">
      <items count="13">
        <item x="0"/>
        <item x="1"/>
        <item x="2"/>
        <item x="3"/>
        <item x="4"/>
        <item x="9"/>
        <item x="5"/>
        <item x="10"/>
        <item x="6"/>
        <item x="7"/>
        <item x="8"/>
        <item x="11"/>
        <item t="default"/>
      </items>
    </pivotField>
    <pivotField showAll="0"/>
    <pivotField showAll="0"/>
    <pivotField showAll="0">
      <items count="19">
        <item x="10"/>
        <item x="9"/>
        <item x="11"/>
        <item x="16"/>
        <item x="7"/>
        <item x="1"/>
        <item x="12"/>
        <item x="0"/>
        <item x="17"/>
        <item x="14"/>
        <item x="15"/>
        <item x="8"/>
        <item x="2"/>
        <item x="4"/>
        <item x="6"/>
        <item x="3"/>
        <item x="13"/>
        <item x="5"/>
        <item t="default"/>
      </items>
    </pivotField>
    <pivotField showAll="0">
      <items count="31">
        <item x="7"/>
        <item x="19"/>
        <item x="27"/>
        <item x="15"/>
        <item x="24"/>
        <item x="8"/>
        <item x="11"/>
        <item x="28"/>
        <item x="17"/>
        <item x="22"/>
        <item x="18"/>
        <item x="29"/>
        <item x="16"/>
        <item x="25"/>
        <item x="26"/>
        <item x="3"/>
        <item x="4"/>
        <item x="0"/>
        <item x="1"/>
        <item x="2"/>
        <item x="21"/>
        <item x="14"/>
        <item x="23"/>
        <item x="10"/>
        <item x="9"/>
        <item x="12"/>
        <item x="13"/>
        <item x="6"/>
        <item x="5"/>
        <item x="20"/>
        <item t="default"/>
      </items>
    </pivotField>
    <pivotField showAll="0"/>
    <pivotField showAll="0">
      <items count="15">
        <item x="1"/>
        <item x="10"/>
        <item x="12"/>
        <item x="5"/>
        <item x="4"/>
        <item x="11"/>
        <item x="7"/>
        <item x="0"/>
        <item x="6"/>
        <item x="3"/>
        <item x="9"/>
        <item x="13"/>
        <item x="2"/>
        <item x="8"/>
        <item t="default"/>
      </items>
    </pivotField>
    <pivotField showAll="0"/>
    <pivotField showAll="0"/>
    <pivotField showAll="0"/>
    <pivotField dataField="1" numFmtId="4" showAll="0"/>
    <pivotField showAll="0"/>
    <pivotField showAll="0"/>
    <pivotField showAll="0"/>
    <pivotField showAll="0"/>
    <pivotField showAll="0">
      <items count="4">
        <item x="0"/>
        <item x="2"/>
        <item x="1"/>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Sum of Sales" fld="14" baseField="0" baseItem="0" numFmtId="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6EEDAD-8BBD-4AEC-A31A-CD32D42F41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C35" firstHeaderRow="1" firstDataRow="1" firstDataCol="1"/>
  <pivotFields count="20">
    <pivotField numFmtId="14" showAll="0"/>
    <pivotField numFmtId="1" showAll="0"/>
    <pivotField numFmtId="1" showAll="0">
      <items count="13">
        <item x="0"/>
        <item x="1"/>
        <item x="2"/>
        <item x="3"/>
        <item x="4"/>
        <item x="9"/>
        <item x="5"/>
        <item x="10"/>
        <item x="6"/>
        <item x="7"/>
        <item x="8"/>
        <item x="11"/>
        <item t="default"/>
      </items>
    </pivotField>
    <pivotField numFmtId="1" showAll="0"/>
    <pivotField showAll="0">
      <items count="13">
        <item x="0"/>
        <item x="1"/>
        <item x="2"/>
        <item x="3"/>
        <item x="4"/>
        <item x="9"/>
        <item x="5"/>
        <item x="10"/>
        <item x="6"/>
        <item x="7"/>
        <item x="8"/>
        <item x="11"/>
        <item t="default"/>
      </items>
    </pivotField>
    <pivotField showAll="0"/>
    <pivotField showAll="0"/>
    <pivotField showAll="0">
      <items count="19">
        <item x="10"/>
        <item x="9"/>
        <item x="11"/>
        <item x="16"/>
        <item x="7"/>
        <item x="1"/>
        <item x="12"/>
        <item x="0"/>
        <item x="17"/>
        <item x="14"/>
        <item x="15"/>
        <item x="8"/>
        <item x="2"/>
        <item x="4"/>
        <item x="6"/>
        <item x="3"/>
        <item x="13"/>
        <item x="5"/>
        <item t="default"/>
      </items>
    </pivotField>
    <pivotField axis="axisRow" showAll="0" sortType="ascending">
      <items count="31">
        <item x="7"/>
        <item x="19"/>
        <item x="27"/>
        <item x="15"/>
        <item x="24"/>
        <item x="8"/>
        <item x="11"/>
        <item x="28"/>
        <item x="17"/>
        <item x="22"/>
        <item x="18"/>
        <item x="29"/>
        <item x="16"/>
        <item x="25"/>
        <item x="26"/>
        <item x="3"/>
        <item x="4"/>
        <item x="0"/>
        <item x="1"/>
        <item x="2"/>
        <item x="21"/>
        <item x="14"/>
        <item x="23"/>
        <item x="10"/>
        <item x="9"/>
        <item x="12"/>
        <item x="13"/>
        <item x="6"/>
        <item x="5"/>
        <item x="2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15">
        <item x="1"/>
        <item x="10"/>
        <item x="12"/>
        <item x="5"/>
        <item x="4"/>
        <item x="11"/>
        <item x="7"/>
        <item x="0"/>
        <item x="6"/>
        <item x="3"/>
        <item x="9"/>
        <item x="13"/>
        <item x="2"/>
        <item x="8"/>
        <item t="default"/>
      </items>
    </pivotField>
    <pivotField showAll="0">
      <items count="73">
        <item x="14"/>
        <item x="41"/>
        <item x="38"/>
        <item x="64"/>
        <item x="40"/>
        <item x="29"/>
        <item x="52"/>
        <item x="16"/>
        <item x="21"/>
        <item x="34"/>
        <item x="37"/>
        <item x="65"/>
        <item x="67"/>
        <item x="31"/>
        <item x="35"/>
        <item x="47"/>
        <item x="33"/>
        <item x="53"/>
        <item x="54"/>
        <item x="48"/>
        <item x="39"/>
        <item x="36"/>
        <item x="46"/>
        <item x="58"/>
        <item x="60"/>
        <item x="66"/>
        <item x="30"/>
        <item x="55"/>
        <item x="56"/>
        <item x="43"/>
        <item x="42"/>
        <item x="28"/>
        <item x="18"/>
        <item x="27"/>
        <item x="19"/>
        <item x="62"/>
        <item x="5"/>
        <item x="9"/>
        <item x="7"/>
        <item x="8"/>
        <item x="2"/>
        <item x="0"/>
        <item x="1"/>
        <item x="3"/>
        <item x="4"/>
        <item x="6"/>
        <item x="50"/>
        <item x="24"/>
        <item x="51"/>
        <item x="59"/>
        <item x="45"/>
        <item x="49"/>
        <item x="20"/>
        <item x="61"/>
        <item x="22"/>
        <item x="25"/>
        <item x="63"/>
        <item x="70"/>
        <item x="32"/>
        <item x="71"/>
        <item x="68"/>
        <item x="26"/>
        <item x="57"/>
        <item x="23"/>
        <item x="17"/>
        <item x="13"/>
        <item x="12"/>
        <item x="15"/>
        <item x="11"/>
        <item x="10"/>
        <item x="69"/>
        <item x="44"/>
        <item t="default"/>
      </items>
    </pivotField>
    <pivotField showAll="0"/>
    <pivotField showAll="0"/>
    <pivotField dataField="1" numFmtId="4" showAll="0"/>
    <pivotField showAll="0"/>
    <pivotField showAll="0"/>
    <pivotField showAll="0"/>
    <pivotField showAll="0"/>
    <pivotField showAll="0">
      <items count="4">
        <item x="0"/>
        <item x="2"/>
        <item x="1"/>
        <item t="default"/>
      </items>
    </pivotField>
  </pivotFields>
  <rowFields count="1">
    <field x="8"/>
  </rowFields>
  <rowItems count="31">
    <i>
      <x v="13"/>
    </i>
    <i>
      <x v="2"/>
    </i>
    <i>
      <x/>
    </i>
    <i>
      <x v="28"/>
    </i>
    <i>
      <x v="22"/>
    </i>
    <i>
      <x v="11"/>
    </i>
    <i>
      <x v="20"/>
    </i>
    <i>
      <x v="5"/>
    </i>
    <i>
      <x v="4"/>
    </i>
    <i>
      <x v="12"/>
    </i>
    <i>
      <x v="1"/>
    </i>
    <i>
      <x v="14"/>
    </i>
    <i>
      <x v="16"/>
    </i>
    <i>
      <x v="19"/>
    </i>
    <i>
      <x v="7"/>
    </i>
    <i>
      <x v="15"/>
    </i>
    <i>
      <x v="27"/>
    </i>
    <i>
      <x v="29"/>
    </i>
    <i>
      <x v="25"/>
    </i>
    <i>
      <x v="9"/>
    </i>
    <i>
      <x v="21"/>
    </i>
    <i>
      <x v="18"/>
    </i>
    <i>
      <x v="17"/>
    </i>
    <i>
      <x v="26"/>
    </i>
    <i>
      <x v="3"/>
    </i>
    <i>
      <x v="10"/>
    </i>
    <i>
      <x v="6"/>
    </i>
    <i>
      <x v="23"/>
    </i>
    <i>
      <x v="8"/>
    </i>
    <i>
      <x v="24"/>
    </i>
    <i t="grand">
      <x/>
    </i>
  </rowItems>
  <colItems count="1">
    <i/>
  </colItems>
  <dataFields count="1">
    <dataField name="Sum of Sales" fld="14" baseField="0" baseItem="0" numFmtId="4"/>
  </dataFields>
  <chartFormats count="2">
    <chartFormat chart="1"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5C0461-BC2B-48C8-89FE-EFE45E6BC71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S36" firstHeaderRow="1" firstDataRow="1" firstDataCol="1"/>
  <pivotFields count="2">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roduct" fld="1"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edsheet!$A$1:$T$43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841C05-97E1-4BDE-965E-F9CBC6F5AE2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P36" firstHeaderRow="1" firstDataRow="1" firstDataCol="1"/>
  <pivotFields count="2">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Order No." fld="1"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Quantity"/>
    <pivotHierarchy dragToData="1"/>
    <pivotHierarchy dragToData="1" caption="Distinct Count of Order No."/>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edsheet!$A$1:$T$43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5FF184-62A4-4FD3-8B13-A18E421137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4:C19" firstHeaderRow="1" firstDataRow="1" firstDataCol="1"/>
  <pivotFields count="20">
    <pivotField numFmtId="14" showAll="0"/>
    <pivotField numFmtId="1" showAll="0"/>
    <pivotField numFmtId="1" showAll="0">
      <items count="13">
        <item x="0"/>
        <item x="1"/>
        <item x="2"/>
        <item x="3"/>
        <item x="4"/>
        <item x="9"/>
        <item x="5"/>
        <item x="10"/>
        <item x="6"/>
        <item x="7"/>
        <item x="8"/>
        <item x="11"/>
        <item t="default"/>
      </items>
    </pivotField>
    <pivotField numFmtId="1" showAll="0"/>
    <pivotField showAll="0">
      <items count="13">
        <item x="0"/>
        <item x="1"/>
        <item x="2"/>
        <item x="3"/>
        <item x="4"/>
        <item x="9"/>
        <item x="5"/>
        <item x="10"/>
        <item x="6"/>
        <item x="7"/>
        <item x="8"/>
        <item x="11"/>
        <item t="default"/>
      </items>
    </pivotField>
    <pivotField showAll="0"/>
    <pivotField showAll="0"/>
    <pivotField showAll="0">
      <items count="19">
        <item x="10"/>
        <item x="9"/>
        <item x="11"/>
        <item x="16"/>
        <item x="7"/>
        <item x="1"/>
        <item x="12"/>
        <item x="0"/>
        <item x="17"/>
        <item x="14"/>
        <item x="15"/>
        <item x="8"/>
        <item x="2"/>
        <item x="4"/>
        <item x="6"/>
        <item x="3"/>
        <item x="13"/>
        <item x="5"/>
        <item t="default"/>
      </items>
    </pivotField>
    <pivotField showAll="0">
      <items count="31">
        <item x="7"/>
        <item x="19"/>
        <item x="27"/>
        <item x="15"/>
        <item x="24"/>
        <item x="8"/>
        <item x="11"/>
        <item x="28"/>
        <item x="17"/>
        <item x="22"/>
        <item x="18"/>
        <item x="29"/>
        <item x="16"/>
        <item x="25"/>
        <item x="26"/>
        <item x="3"/>
        <item x="4"/>
        <item x="0"/>
        <item x="1"/>
        <item x="2"/>
        <item x="21"/>
        <item x="14"/>
        <item x="23"/>
        <item x="10"/>
        <item x="9"/>
        <item x="12"/>
        <item x="13"/>
        <item x="6"/>
        <item x="5"/>
        <item x="20"/>
        <item t="default"/>
      </items>
    </pivotField>
    <pivotField showAll="0">
      <items count="4">
        <item x="0"/>
        <item x="1"/>
        <item x="2"/>
        <item t="default"/>
      </items>
    </pivotField>
    <pivotField axis="axisRow" showAll="0" sortType="ascending">
      <items count="15">
        <item x="1"/>
        <item x="10"/>
        <item x="12"/>
        <item x="5"/>
        <item x="4"/>
        <item x="11"/>
        <item x="7"/>
        <item x="0"/>
        <item x="6"/>
        <item x="3"/>
        <item x="9"/>
        <item x="13"/>
        <item x="2"/>
        <item x="8"/>
        <item t="default"/>
      </items>
      <autoSortScope>
        <pivotArea dataOnly="0" outline="0" fieldPosition="0">
          <references count="1">
            <reference field="4294967294" count="1" selected="0">
              <x v="0"/>
            </reference>
          </references>
        </pivotArea>
      </autoSortScope>
    </pivotField>
    <pivotField showAll="0">
      <items count="73">
        <item x="14"/>
        <item x="41"/>
        <item x="38"/>
        <item x="64"/>
        <item x="40"/>
        <item x="29"/>
        <item x="52"/>
        <item x="16"/>
        <item x="21"/>
        <item x="34"/>
        <item x="37"/>
        <item x="65"/>
        <item x="67"/>
        <item x="31"/>
        <item x="35"/>
        <item x="47"/>
        <item x="33"/>
        <item x="53"/>
        <item x="54"/>
        <item x="48"/>
        <item x="39"/>
        <item x="36"/>
        <item x="46"/>
        <item x="58"/>
        <item x="60"/>
        <item x="66"/>
        <item x="30"/>
        <item x="55"/>
        <item x="56"/>
        <item x="43"/>
        <item x="42"/>
        <item x="28"/>
        <item x="18"/>
        <item x="27"/>
        <item x="19"/>
        <item x="62"/>
        <item x="5"/>
        <item x="9"/>
        <item x="7"/>
        <item x="8"/>
        <item x="2"/>
        <item x="0"/>
        <item x="1"/>
        <item x="3"/>
        <item x="4"/>
        <item x="6"/>
        <item x="50"/>
        <item x="24"/>
        <item x="51"/>
        <item x="59"/>
        <item x="45"/>
        <item x="49"/>
        <item x="20"/>
        <item x="61"/>
        <item x="22"/>
        <item x="25"/>
        <item x="63"/>
        <item x="70"/>
        <item x="32"/>
        <item x="71"/>
        <item x="68"/>
        <item x="26"/>
        <item x="57"/>
        <item x="23"/>
        <item x="17"/>
        <item x="13"/>
        <item x="12"/>
        <item x="15"/>
        <item x="11"/>
        <item x="10"/>
        <item x="69"/>
        <item x="44"/>
        <item t="default"/>
      </items>
    </pivotField>
    <pivotField showAll="0"/>
    <pivotField showAll="0"/>
    <pivotField dataField="1" numFmtId="4" showAll="0"/>
    <pivotField showAll="0"/>
    <pivotField showAll="0"/>
    <pivotField showAll="0"/>
    <pivotField showAll="0"/>
    <pivotField showAll="0">
      <items count="4">
        <item x="0"/>
        <item x="2"/>
        <item x="1"/>
        <item t="default"/>
      </items>
    </pivotField>
  </pivotFields>
  <rowFields count="1">
    <field x="10"/>
  </rowFields>
  <rowItems count="15">
    <i>
      <x v="2"/>
    </i>
    <i>
      <x v="5"/>
    </i>
    <i>
      <x v="9"/>
    </i>
    <i>
      <x v="1"/>
    </i>
    <i>
      <x v="11"/>
    </i>
    <i>
      <x v="10"/>
    </i>
    <i>
      <x v="12"/>
    </i>
    <i>
      <x v="6"/>
    </i>
    <i>
      <x/>
    </i>
    <i>
      <x v="7"/>
    </i>
    <i>
      <x v="13"/>
    </i>
    <i>
      <x v="3"/>
    </i>
    <i>
      <x v="8"/>
    </i>
    <i>
      <x v="4"/>
    </i>
    <i t="grand">
      <x/>
    </i>
  </rowItems>
  <colItems count="1">
    <i/>
  </colItems>
  <dataFields count="1">
    <dataField name="Sum of Sales" fld="14" baseField="0" baseItem="0" numFmtId="4"/>
  </dataFields>
  <chartFormats count="2">
    <chartFormat chart="3"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F1F815-DD09-4C7A-84FC-0271F0ACD7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4:C23" firstHeaderRow="1" firstDataRow="1" firstDataCol="1"/>
  <pivotFields count="20">
    <pivotField numFmtId="14" showAll="0"/>
    <pivotField numFmtId="1" showAll="0"/>
    <pivotField numFmtId="1" showAll="0">
      <items count="13">
        <item x="0"/>
        <item x="1"/>
        <item x="2"/>
        <item x="3"/>
        <item x="4"/>
        <item x="9"/>
        <item x="5"/>
        <item x="10"/>
        <item x="6"/>
        <item x="7"/>
        <item x="8"/>
        <item x="11"/>
        <item t="default"/>
      </items>
    </pivotField>
    <pivotField numFmtId="1" showAll="0"/>
    <pivotField showAll="0">
      <items count="13">
        <item x="0"/>
        <item x="1"/>
        <item x="2"/>
        <item x="3"/>
        <item x="4"/>
        <item x="9"/>
        <item x="5"/>
        <item x="10"/>
        <item x="6"/>
        <item x="7"/>
        <item x="8"/>
        <item x="11"/>
        <item t="default"/>
      </items>
    </pivotField>
    <pivotField showAll="0"/>
    <pivotField showAll="0"/>
    <pivotField axis="axisRow" showAll="0" sortType="ascending">
      <items count="19">
        <item x="10"/>
        <item x="9"/>
        <item x="11"/>
        <item x="16"/>
        <item x="7"/>
        <item x="1"/>
        <item x="12"/>
        <item x="0"/>
        <item x="17"/>
        <item x="14"/>
        <item x="15"/>
        <item x="8"/>
        <item x="2"/>
        <item x="4"/>
        <item x="6"/>
        <item x="3"/>
        <item x="13"/>
        <item x="5"/>
        <item t="default"/>
      </items>
      <autoSortScope>
        <pivotArea dataOnly="0" outline="0" fieldPosition="0">
          <references count="1">
            <reference field="4294967294" count="1" selected="0">
              <x v="0"/>
            </reference>
          </references>
        </pivotArea>
      </autoSortScope>
    </pivotField>
    <pivotField showAll="0" measureFilter="1" sortType="descending">
      <items count="31">
        <item x="7"/>
        <item x="19"/>
        <item x="27"/>
        <item x="15"/>
        <item x="24"/>
        <item x="8"/>
        <item x="11"/>
        <item x="28"/>
        <item x="17"/>
        <item x="22"/>
        <item x="18"/>
        <item x="29"/>
        <item x="16"/>
        <item x="25"/>
        <item x="26"/>
        <item x="3"/>
        <item x="4"/>
        <item x="0"/>
        <item x="1"/>
        <item x="2"/>
        <item x="21"/>
        <item x="14"/>
        <item x="23"/>
        <item x="10"/>
        <item x="9"/>
        <item x="12"/>
        <item x="13"/>
        <item x="6"/>
        <item x="5"/>
        <item x="2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15">
        <item x="1"/>
        <item x="10"/>
        <item x="12"/>
        <item x="5"/>
        <item x="4"/>
        <item x="11"/>
        <item x="7"/>
        <item x="0"/>
        <item x="6"/>
        <item x="3"/>
        <item x="9"/>
        <item x="13"/>
        <item x="2"/>
        <item x="8"/>
        <item t="default"/>
      </items>
    </pivotField>
    <pivotField showAll="0">
      <items count="73">
        <item x="14"/>
        <item x="41"/>
        <item x="38"/>
        <item x="64"/>
        <item x="40"/>
        <item x="29"/>
        <item x="52"/>
        <item x="16"/>
        <item x="21"/>
        <item x="34"/>
        <item x="37"/>
        <item x="65"/>
        <item x="67"/>
        <item x="31"/>
        <item x="35"/>
        <item x="47"/>
        <item x="33"/>
        <item x="53"/>
        <item x="54"/>
        <item x="48"/>
        <item x="39"/>
        <item x="36"/>
        <item x="46"/>
        <item x="58"/>
        <item x="60"/>
        <item x="66"/>
        <item x="30"/>
        <item x="55"/>
        <item x="56"/>
        <item x="43"/>
        <item x="42"/>
        <item x="28"/>
        <item x="18"/>
        <item x="27"/>
        <item x="19"/>
        <item x="62"/>
        <item x="5"/>
        <item x="9"/>
        <item x="7"/>
        <item x="8"/>
        <item x="2"/>
        <item x="0"/>
        <item x="1"/>
        <item x="3"/>
        <item x="4"/>
        <item x="6"/>
        <item x="50"/>
        <item x="24"/>
        <item x="51"/>
        <item x="59"/>
        <item x="45"/>
        <item x="49"/>
        <item x="20"/>
        <item x="61"/>
        <item x="22"/>
        <item x="25"/>
        <item x="63"/>
        <item x="70"/>
        <item x="32"/>
        <item x="71"/>
        <item x="68"/>
        <item x="26"/>
        <item x="57"/>
        <item x="23"/>
        <item x="17"/>
        <item x="13"/>
        <item x="12"/>
        <item x="15"/>
        <item x="11"/>
        <item x="10"/>
        <item x="69"/>
        <item x="44"/>
        <item t="default"/>
      </items>
    </pivotField>
    <pivotField showAll="0"/>
    <pivotField showAll="0"/>
    <pivotField dataField="1" numFmtId="4" showAll="0"/>
    <pivotField showAll="0"/>
    <pivotField showAll="0"/>
    <pivotField showAll="0"/>
    <pivotField showAll="0"/>
    <pivotField showAll="0">
      <items count="4">
        <item x="0"/>
        <item x="2"/>
        <item x="1"/>
        <item t="default"/>
      </items>
    </pivotField>
  </pivotFields>
  <rowFields count="1">
    <field x="7"/>
  </rowFields>
  <rowItems count="19">
    <i>
      <x v="9"/>
    </i>
    <i>
      <x v="13"/>
    </i>
    <i>
      <x v="8"/>
    </i>
    <i>
      <x v="16"/>
    </i>
    <i>
      <x v="17"/>
    </i>
    <i>
      <x v="6"/>
    </i>
    <i>
      <x v="10"/>
    </i>
    <i>
      <x v="3"/>
    </i>
    <i>
      <x v="15"/>
    </i>
    <i>
      <x v="4"/>
    </i>
    <i>
      <x v="11"/>
    </i>
    <i>
      <x v="7"/>
    </i>
    <i>
      <x v="1"/>
    </i>
    <i>
      <x v="2"/>
    </i>
    <i>
      <x v="14"/>
    </i>
    <i>
      <x v="5"/>
    </i>
    <i>
      <x/>
    </i>
    <i>
      <x v="12"/>
    </i>
    <i t="grand">
      <x/>
    </i>
  </rowItems>
  <colItems count="1">
    <i/>
  </colItems>
  <dataFields count="1">
    <dataField name="Sum of Sales" fld="14" baseField="0" baseItem="0" numFmtId="4"/>
  </dataFields>
  <chartFormats count="4">
    <chartFormat chart="1"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90F1DF-A8E6-418E-A866-970316B5D2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4:C15" firstHeaderRow="1" firstDataRow="1" firstDataCol="1"/>
  <pivotFields count="20">
    <pivotField numFmtId="14" showAll="0"/>
    <pivotField numFmtId="1" showAll="0"/>
    <pivotField numFmtId="1" showAll="0">
      <items count="13">
        <item x="0"/>
        <item x="1"/>
        <item x="2"/>
        <item x="3"/>
        <item x="4"/>
        <item x="9"/>
        <item x="5"/>
        <item x="10"/>
        <item x="6"/>
        <item x="7"/>
        <item x="8"/>
        <item x="11"/>
        <item t="default"/>
      </items>
    </pivotField>
    <pivotField numFmtId="1" showAll="0"/>
    <pivotField showAll="0">
      <items count="13">
        <item x="0"/>
        <item x="1"/>
        <item x="2"/>
        <item x="3"/>
        <item x="4"/>
        <item x="9"/>
        <item x="5"/>
        <item x="10"/>
        <item x="6"/>
        <item x="7"/>
        <item x="8"/>
        <item x="11"/>
        <item t="default"/>
      </items>
    </pivotField>
    <pivotField showAll="0"/>
    <pivotField showAll="0" measureFilter="1" sortType="descending">
      <items count="105">
        <item x="100"/>
        <item x="77"/>
        <item x="69"/>
        <item x="46"/>
        <item x="40"/>
        <item x="13"/>
        <item x="18"/>
        <item x="4"/>
        <item x="78"/>
        <item x="73"/>
        <item x="56"/>
        <item x="88"/>
        <item x="83"/>
        <item x="55"/>
        <item x="91"/>
        <item x="51"/>
        <item x="34"/>
        <item x="93"/>
        <item x="58"/>
        <item x="53"/>
        <item x="30"/>
        <item x="98"/>
        <item x="45"/>
        <item x="6"/>
        <item x="21"/>
        <item x="86"/>
        <item x="57"/>
        <item x="60"/>
        <item x="47"/>
        <item x="5"/>
        <item x="75"/>
        <item x="54"/>
        <item x="52"/>
        <item x="102"/>
        <item x="36"/>
        <item x="85"/>
        <item x="81"/>
        <item x="103"/>
        <item x="25"/>
        <item x="67"/>
        <item x="7"/>
        <item x="42"/>
        <item x="92"/>
        <item x="9"/>
        <item x="59"/>
        <item x="87"/>
        <item x="44"/>
        <item x="72"/>
        <item x="2"/>
        <item x="17"/>
        <item x="76"/>
        <item x="12"/>
        <item x="61"/>
        <item x="31"/>
        <item x="10"/>
        <item x="99"/>
        <item x="50"/>
        <item x="27"/>
        <item x="82"/>
        <item x="48"/>
        <item x="32"/>
        <item x="28"/>
        <item x="65"/>
        <item x="80"/>
        <item x="22"/>
        <item x="90"/>
        <item x="41"/>
        <item x="1"/>
        <item x="79"/>
        <item x="96"/>
        <item x="49"/>
        <item x="64"/>
        <item x="14"/>
        <item x="62"/>
        <item x="33"/>
        <item x="24"/>
        <item x="63"/>
        <item x="23"/>
        <item x="84"/>
        <item x="43"/>
        <item x="29"/>
        <item x="0"/>
        <item x="66"/>
        <item x="38"/>
        <item x="39"/>
        <item x="71"/>
        <item x="26"/>
        <item x="16"/>
        <item x="70"/>
        <item x="8"/>
        <item x="68"/>
        <item x="89"/>
        <item x="74"/>
        <item x="97"/>
        <item x="19"/>
        <item x="3"/>
        <item x="95"/>
        <item x="20"/>
        <item x="11"/>
        <item x="101"/>
        <item x="94"/>
        <item x="35"/>
        <item x="15"/>
        <item x="37"/>
        <item t="default"/>
      </items>
      <autoSortScope>
        <pivotArea dataOnly="0" outline="0" fieldPosition="0">
          <references count="1">
            <reference field="4294967294" count="1" selected="0">
              <x v="0"/>
            </reference>
          </references>
        </pivotArea>
      </autoSortScope>
    </pivotField>
    <pivotField showAll="0" sortType="descending">
      <items count="19">
        <item x="10"/>
        <item x="9"/>
        <item x="11"/>
        <item x="16"/>
        <item x="7"/>
        <item x="1"/>
        <item x="12"/>
        <item x="0"/>
        <item x="17"/>
        <item x="14"/>
        <item x="15"/>
        <item x="8"/>
        <item x="2"/>
        <item x="4"/>
        <item x="6"/>
        <item x="3"/>
        <item x="13"/>
        <item x="5"/>
        <item t="default"/>
      </items>
      <autoSortScope>
        <pivotArea dataOnly="0" outline="0" fieldPosition="0">
          <references count="1">
            <reference field="4294967294" count="1" selected="0">
              <x v="0"/>
            </reference>
          </references>
        </pivotArea>
      </autoSortScope>
    </pivotField>
    <pivotField showAll="0" measureFilter="1" sortType="descending">
      <items count="31">
        <item x="7"/>
        <item x="19"/>
        <item x="27"/>
        <item x="15"/>
        <item x="24"/>
        <item x="8"/>
        <item x="11"/>
        <item x="28"/>
        <item x="17"/>
        <item x="22"/>
        <item x="18"/>
        <item x="29"/>
        <item x="16"/>
        <item x="25"/>
        <item x="26"/>
        <item x="3"/>
        <item x="4"/>
        <item x="0"/>
        <item x="1"/>
        <item x="2"/>
        <item x="21"/>
        <item x="14"/>
        <item x="23"/>
        <item x="10"/>
        <item x="9"/>
        <item x="12"/>
        <item x="13"/>
        <item x="6"/>
        <item x="5"/>
        <item x="2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15">
        <item x="1"/>
        <item x="10"/>
        <item x="12"/>
        <item x="5"/>
        <item x="4"/>
        <item x="11"/>
        <item x="7"/>
        <item x="0"/>
        <item x="6"/>
        <item x="3"/>
        <item x="9"/>
        <item x="13"/>
        <item x="2"/>
        <item x="8"/>
        <item t="default"/>
      </items>
    </pivotField>
    <pivotField axis="axisRow" showAll="0" measureFilter="1" sortType="ascending">
      <items count="73">
        <item x="14"/>
        <item x="41"/>
        <item x="38"/>
        <item x="64"/>
        <item x="40"/>
        <item x="29"/>
        <item x="52"/>
        <item x="16"/>
        <item x="21"/>
        <item x="34"/>
        <item x="37"/>
        <item x="65"/>
        <item x="67"/>
        <item x="31"/>
        <item x="35"/>
        <item x="47"/>
        <item x="33"/>
        <item x="53"/>
        <item x="54"/>
        <item x="48"/>
        <item x="39"/>
        <item x="36"/>
        <item x="46"/>
        <item x="58"/>
        <item x="60"/>
        <item x="66"/>
        <item x="30"/>
        <item x="55"/>
        <item x="56"/>
        <item x="43"/>
        <item x="42"/>
        <item x="28"/>
        <item x="18"/>
        <item x="27"/>
        <item x="19"/>
        <item x="62"/>
        <item x="5"/>
        <item x="9"/>
        <item x="7"/>
        <item x="8"/>
        <item x="2"/>
        <item x="0"/>
        <item x="1"/>
        <item x="3"/>
        <item x="4"/>
        <item x="6"/>
        <item x="50"/>
        <item x="24"/>
        <item x="51"/>
        <item x="59"/>
        <item x="45"/>
        <item x="49"/>
        <item x="20"/>
        <item x="61"/>
        <item x="22"/>
        <item x="25"/>
        <item x="63"/>
        <item x="70"/>
        <item x="32"/>
        <item x="71"/>
        <item x="68"/>
        <item x="26"/>
        <item x="57"/>
        <item x="23"/>
        <item x="17"/>
        <item x="13"/>
        <item x="12"/>
        <item x="15"/>
        <item x="11"/>
        <item x="10"/>
        <item x="69"/>
        <item x="44"/>
        <item t="default"/>
      </items>
      <autoSortScope>
        <pivotArea dataOnly="0" outline="0" fieldPosition="0">
          <references count="1">
            <reference field="4294967294" count="1" selected="0">
              <x v="0"/>
            </reference>
          </references>
        </pivotArea>
      </autoSortScope>
    </pivotField>
    <pivotField showAll="0"/>
    <pivotField showAll="0"/>
    <pivotField dataField="1" numFmtId="4" showAll="0"/>
    <pivotField showAll="0"/>
    <pivotField showAll="0"/>
    <pivotField showAll="0"/>
    <pivotField showAll="0"/>
    <pivotField showAll="0">
      <items count="4">
        <item x="0"/>
        <item x="2"/>
        <item x="1"/>
        <item t="default"/>
      </items>
    </pivotField>
  </pivotFields>
  <rowFields count="1">
    <field x="11"/>
  </rowFields>
  <rowItems count="11">
    <i>
      <x v="31"/>
    </i>
    <i>
      <x v="43"/>
    </i>
    <i>
      <x v="9"/>
    </i>
    <i>
      <x v="14"/>
    </i>
    <i>
      <x v="52"/>
    </i>
    <i>
      <x v="5"/>
    </i>
    <i>
      <x v="20"/>
    </i>
    <i>
      <x v="32"/>
    </i>
    <i>
      <x v="16"/>
    </i>
    <i>
      <x v="34"/>
    </i>
    <i t="grand">
      <x/>
    </i>
  </rowItems>
  <colItems count="1">
    <i/>
  </colItems>
  <dataFields count="1">
    <dataField name="Sum of Sales" fld="14" baseField="0" baseItem="0" numFmtId="4"/>
  </dataFields>
  <chartFormats count="6">
    <chartFormat chart="1"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4"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8" type="count" evalOrder="-1" id="1" iMeasureFld="0">
      <autoFilter ref="A1">
        <filterColumn colId="0">
          <top10 val="10" filterVal="10"/>
        </filterColumn>
      </autoFilter>
    </filter>
    <filter fld="6" type="count" evalOrder="-1" id="4" iMeasureFld="0">
      <autoFilter ref="A1">
        <filterColumn colId="0">
          <top10 val="10" filterVal="10"/>
        </filterColumn>
      </autoFilter>
    </filter>
    <filter fld="11"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EE21FF-A7C0-4DBE-84DC-E8DB95BFAF1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108" firstHeaderRow="1" firstDataRow="1" firstDataCol="1"/>
  <pivotFields count="2">
    <pivotField axis="axisRow" allDrilled="1" subtotalTop="0" showAll="0" dataSourceSort="1" defaultSubtotal="0" defaultAttributeDrillState="1">
      <items count="1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s>
    </pivotField>
    <pivotField dataField="1" subtotalTop="0" showAll="0" defaultSubtotal="0"/>
  </pivotFields>
  <rowFields count="1">
    <field x="0"/>
  </rowFields>
  <rowItems count="1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t="grand">
      <x/>
    </i>
  </rowItems>
  <colItems count="1">
    <i/>
  </colItems>
  <dataFields count="1">
    <dataField name="Distinct Count of Customer Name" fld="1"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ales"/>
    <pivotHierarchy dragToData="1"/>
    <pivotHierarchy dragToData="1" caption="Distinct Count of Customer Na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edsheet!$A$1:$T$43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C7EFE8-181C-48BC-A8D3-1F5B8F132B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4:C15" firstHeaderRow="1" firstDataRow="1" firstDataCol="1"/>
  <pivotFields count="20">
    <pivotField numFmtId="14" showAll="0"/>
    <pivotField numFmtId="1" showAll="0"/>
    <pivotField numFmtId="1" showAll="0">
      <items count="13">
        <item x="0"/>
        <item x="1"/>
        <item x="2"/>
        <item x="3"/>
        <item x="4"/>
        <item x="9"/>
        <item x="5"/>
        <item x="10"/>
        <item x="6"/>
        <item x="7"/>
        <item x="8"/>
        <item x="11"/>
        <item t="default"/>
      </items>
    </pivotField>
    <pivotField numFmtId="1" showAll="0"/>
    <pivotField showAll="0">
      <items count="13">
        <item x="0"/>
        <item x="1"/>
        <item x="2"/>
        <item x="3"/>
        <item x="4"/>
        <item x="9"/>
        <item x="5"/>
        <item x="10"/>
        <item x="6"/>
        <item x="7"/>
        <item x="8"/>
        <item x="11"/>
        <item t="default"/>
      </items>
    </pivotField>
    <pivotField showAll="0"/>
    <pivotField axis="axisRow" showAll="0" measureFilter="1" sortType="descending">
      <items count="105">
        <item x="100"/>
        <item x="77"/>
        <item x="69"/>
        <item x="46"/>
        <item x="40"/>
        <item x="13"/>
        <item x="18"/>
        <item x="4"/>
        <item x="78"/>
        <item x="73"/>
        <item x="56"/>
        <item x="88"/>
        <item x="83"/>
        <item x="55"/>
        <item x="91"/>
        <item x="51"/>
        <item x="34"/>
        <item x="93"/>
        <item x="58"/>
        <item x="53"/>
        <item x="30"/>
        <item x="98"/>
        <item x="45"/>
        <item x="6"/>
        <item x="21"/>
        <item x="86"/>
        <item x="57"/>
        <item x="60"/>
        <item x="47"/>
        <item x="5"/>
        <item x="75"/>
        <item x="54"/>
        <item x="52"/>
        <item x="102"/>
        <item x="36"/>
        <item x="85"/>
        <item x="81"/>
        <item x="103"/>
        <item x="25"/>
        <item x="67"/>
        <item x="7"/>
        <item x="42"/>
        <item x="92"/>
        <item x="9"/>
        <item x="59"/>
        <item x="87"/>
        <item x="44"/>
        <item x="72"/>
        <item x="2"/>
        <item x="17"/>
        <item x="76"/>
        <item x="12"/>
        <item x="61"/>
        <item x="31"/>
        <item x="10"/>
        <item x="99"/>
        <item x="50"/>
        <item x="27"/>
        <item x="82"/>
        <item x="48"/>
        <item x="32"/>
        <item x="28"/>
        <item x="65"/>
        <item x="80"/>
        <item x="22"/>
        <item x="90"/>
        <item x="41"/>
        <item x="1"/>
        <item x="79"/>
        <item x="96"/>
        <item x="49"/>
        <item x="64"/>
        <item x="14"/>
        <item x="62"/>
        <item x="33"/>
        <item x="24"/>
        <item x="63"/>
        <item x="23"/>
        <item x="84"/>
        <item x="43"/>
        <item x="29"/>
        <item x="0"/>
        <item x="66"/>
        <item x="38"/>
        <item x="39"/>
        <item x="71"/>
        <item x="26"/>
        <item x="16"/>
        <item x="70"/>
        <item x="8"/>
        <item x="68"/>
        <item x="89"/>
        <item x="74"/>
        <item x="97"/>
        <item x="19"/>
        <item x="3"/>
        <item x="95"/>
        <item x="20"/>
        <item x="11"/>
        <item x="101"/>
        <item x="94"/>
        <item x="35"/>
        <item x="15"/>
        <item x="37"/>
        <item t="default"/>
      </items>
      <autoSortScope>
        <pivotArea dataOnly="0" outline="0" fieldPosition="0">
          <references count="1">
            <reference field="4294967294" count="1" selected="0">
              <x v="0"/>
            </reference>
          </references>
        </pivotArea>
      </autoSortScope>
    </pivotField>
    <pivotField showAll="0" sortType="descending">
      <items count="19">
        <item x="10"/>
        <item x="9"/>
        <item x="11"/>
        <item x="16"/>
        <item x="7"/>
        <item x="1"/>
        <item x="12"/>
        <item x="0"/>
        <item x="17"/>
        <item x="14"/>
        <item x="15"/>
        <item x="8"/>
        <item x="2"/>
        <item x="4"/>
        <item x="6"/>
        <item x="3"/>
        <item x="13"/>
        <item x="5"/>
        <item t="default"/>
      </items>
      <autoSortScope>
        <pivotArea dataOnly="0" outline="0" fieldPosition="0">
          <references count="1">
            <reference field="4294967294" count="1" selected="0">
              <x v="0"/>
            </reference>
          </references>
        </pivotArea>
      </autoSortScope>
    </pivotField>
    <pivotField showAll="0" measureFilter="1" sortType="descending">
      <items count="31">
        <item x="7"/>
        <item x="19"/>
        <item x="27"/>
        <item x="15"/>
        <item x="24"/>
        <item x="8"/>
        <item x="11"/>
        <item x="28"/>
        <item x="17"/>
        <item x="22"/>
        <item x="18"/>
        <item x="29"/>
        <item x="16"/>
        <item x="25"/>
        <item x="26"/>
        <item x="3"/>
        <item x="4"/>
        <item x="0"/>
        <item x="1"/>
        <item x="2"/>
        <item x="21"/>
        <item x="14"/>
        <item x="23"/>
        <item x="10"/>
        <item x="9"/>
        <item x="12"/>
        <item x="13"/>
        <item x="6"/>
        <item x="5"/>
        <item x="2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15">
        <item x="1"/>
        <item x="10"/>
        <item x="12"/>
        <item x="5"/>
        <item x="4"/>
        <item x="11"/>
        <item x="7"/>
        <item x="0"/>
        <item x="6"/>
        <item x="3"/>
        <item x="9"/>
        <item x="13"/>
        <item x="2"/>
        <item x="8"/>
        <item t="default"/>
      </items>
    </pivotField>
    <pivotField showAll="0">
      <items count="73">
        <item x="14"/>
        <item x="41"/>
        <item x="38"/>
        <item x="64"/>
        <item x="40"/>
        <item x="29"/>
        <item x="52"/>
        <item x="16"/>
        <item x="21"/>
        <item x="34"/>
        <item x="37"/>
        <item x="65"/>
        <item x="67"/>
        <item x="31"/>
        <item x="35"/>
        <item x="47"/>
        <item x="33"/>
        <item x="53"/>
        <item x="54"/>
        <item x="48"/>
        <item x="39"/>
        <item x="36"/>
        <item x="46"/>
        <item x="58"/>
        <item x="60"/>
        <item x="66"/>
        <item x="30"/>
        <item x="55"/>
        <item x="56"/>
        <item x="43"/>
        <item x="42"/>
        <item x="28"/>
        <item x="18"/>
        <item x="27"/>
        <item x="19"/>
        <item x="62"/>
        <item x="5"/>
        <item x="9"/>
        <item x="7"/>
        <item x="8"/>
        <item x="2"/>
        <item x="0"/>
        <item x="1"/>
        <item x="3"/>
        <item x="4"/>
        <item x="6"/>
        <item x="50"/>
        <item x="24"/>
        <item x="51"/>
        <item x="59"/>
        <item x="45"/>
        <item x="49"/>
        <item x="20"/>
        <item x="61"/>
        <item x="22"/>
        <item x="25"/>
        <item x="63"/>
        <item x="70"/>
        <item x="32"/>
        <item x="71"/>
        <item x="68"/>
        <item x="26"/>
        <item x="57"/>
        <item x="23"/>
        <item x="17"/>
        <item x="13"/>
        <item x="12"/>
        <item x="15"/>
        <item x="11"/>
        <item x="10"/>
        <item x="69"/>
        <item x="44"/>
        <item t="default"/>
      </items>
    </pivotField>
    <pivotField showAll="0"/>
    <pivotField showAll="0"/>
    <pivotField dataField="1" numFmtId="4" showAll="0"/>
    <pivotField showAll="0"/>
    <pivotField showAll="0"/>
    <pivotField showAll="0"/>
    <pivotField showAll="0"/>
    <pivotField showAll="0">
      <items count="4">
        <item x="0"/>
        <item x="2"/>
        <item x="1"/>
        <item t="default"/>
      </items>
    </pivotField>
  </pivotFields>
  <rowFields count="1">
    <field x="6"/>
  </rowFields>
  <rowItems count="11">
    <i>
      <x v="81"/>
    </i>
    <i>
      <x v="89"/>
    </i>
    <i>
      <x v="41"/>
    </i>
    <i>
      <x v="61"/>
    </i>
    <i>
      <x v="38"/>
    </i>
    <i>
      <x v="21"/>
    </i>
    <i>
      <x v="7"/>
    </i>
    <i>
      <x v="15"/>
    </i>
    <i>
      <x v="40"/>
    </i>
    <i>
      <x v="9"/>
    </i>
    <i t="grand">
      <x/>
    </i>
  </rowItems>
  <colItems count="1">
    <i/>
  </colItems>
  <dataFields count="1">
    <dataField name="Sum of Sales" fld="14" baseField="0" baseItem="0" numFmtId="4"/>
  </dataFields>
  <chartFormats count="25">
    <chartFormat chart="1"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2" format="18">
      <pivotArea type="data" outline="0" fieldPosition="0">
        <references count="2">
          <reference field="4294967294" count="1" selected="0">
            <x v="0"/>
          </reference>
          <reference field="6" count="1" selected="0">
            <x v="81"/>
          </reference>
        </references>
      </pivotArea>
    </chartFormat>
    <chartFormat chart="12" format="19">
      <pivotArea type="data" outline="0" fieldPosition="0">
        <references count="2">
          <reference field="4294967294" count="1" selected="0">
            <x v="0"/>
          </reference>
          <reference field="6" count="1" selected="0">
            <x v="89"/>
          </reference>
        </references>
      </pivotArea>
    </chartFormat>
    <chartFormat chart="12" format="20">
      <pivotArea type="data" outline="0" fieldPosition="0">
        <references count="2">
          <reference field="4294967294" count="1" selected="0">
            <x v="0"/>
          </reference>
          <reference field="6" count="1" selected="0">
            <x v="41"/>
          </reference>
        </references>
      </pivotArea>
    </chartFormat>
    <chartFormat chart="12" format="21">
      <pivotArea type="data" outline="0" fieldPosition="0">
        <references count="2">
          <reference field="4294967294" count="1" selected="0">
            <x v="0"/>
          </reference>
          <reference field="6" count="1" selected="0">
            <x v="61"/>
          </reference>
        </references>
      </pivotArea>
    </chartFormat>
    <chartFormat chart="12" format="22">
      <pivotArea type="data" outline="0" fieldPosition="0">
        <references count="2">
          <reference field="4294967294" count="1" selected="0">
            <x v="0"/>
          </reference>
          <reference field="6" count="1" selected="0">
            <x v="38"/>
          </reference>
        </references>
      </pivotArea>
    </chartFormat>
    <chartFormat chart="12" format="23">
      <pivotArea type="data" outline="0" fieldPosition="0">
        <references count="2">
          <reference field="4294967294" count="1" selected="0">
            <x v="0"/>
          </reference>
          <reference field="6" count="1" selected="0">
            <x v="21"/>
          </reference>
        </references>
      </pivotArea>
    </chartFormat>
    <chartFormat chart="12" format="24">
      <pivotArea type="data" outline="0" fieldPosition="0">
        <references count="2">
          <reference field="4294967294" count="1" selected="0">
            <x v="0"/>
          </reference>
          <reference field="6" count="1" selected="0">
            <x v="7"/>
          </reference>
        </references>
      </pivotArea>
    </chartFormat>
    <chartFormat chart="12" format="25">
      <pivotArea type="data" outline="0" fieldPosition="0">
        <references count="2">
          <reference field="4294967294" count="1" selected="0">
            <x v="0"/>
          </reference>
          <reference field="6" count="1" selected="0">
            <x v="15"/>
          </reference>
        </references>
      </pivotArea>
    </chartFormat>
    <chartFormat chart="12" format="26">
      <pivotArea type="data" outline="0" fieldPosition="0">
        <references count="2">
          <reference field="4294967294" count="1" selected="0">
            <x v="0"/>
          </reference>
          <reference field="6" count="1" selected="0">
            <x v="40"/>
          </reference>
        </references>
      </pivotArea>
    </chartFormat>
    <chartFormat chart="12" format="27">
      <pivotArea type="data" outline="0" fieldPosition="0">
        <references count="2">
          <reference field="4294967294" count="1" selected="0">
            <x v="0"/>
          </reference>
          <reference field="6" count="1" selected="0">
            <x v="9"/>
          </reference>
        </references>
      </pivotArea>
    </chartFormat>
    <chartFormat chart="9" format="16">
      <pivotArea type="data" outline="0" fieldPosition="0">
        <references count="2">
          <reference field="4294967294" count="1" selected="0">
            <x v="0"/>
          </reference>
          <reference field="6" count="1" selected="0">
            <x v="81"/>
          </reference>
        </references>
      </pivotArea>
    </chartFormat>
    <chartFormat chart="9" format="17">
      <pivotArea type="data" outline="0" fieldPosition="0">
        <references count="2">
          <reference field="4294967294" count="1" selected="0">
            <x v="0"/>
          </reference>
          <reference field="6" count="1" selected="0">
            <x v="89"/>
          </reference>
        </references>
      </pivotArea>
    </chartFormat>
    <chartFormat chart="9" format="18">
      <pivotArea type="data" outline="0" fieldPosition="0">
        <references count="2">
          <reference field="4294967294" count="1" selected="0">
            <x v="0"/>
          </reference>
          <reference field="6" count="1" selected="0">
            <x v="41"/>
          </reference>
        </references>
      </pivotArea>
    </chartFormat>
    <chartFormat chart="9" format="19">
      <pivotArea type="data" outline="0" fieldPosition="0">
        <references count="2">
          <reference field="4294967294" count="1" selected="0">
            <x v="0"/>
          </reference>
          <reference field="6" count="1" selected="0">
            <x v="61"/>
          </reference>
        </references>
      </pivotArea>
    </chartFormat>
    <chartFormat chart="9" format="20">
      <pivotArea type="data" outline="0" fieldPosition="0">
        <references count="2">
          <reference field="4294967294" count="1" selected="0">
            <x v="0"/>
          </reference>
          <reference field="6" count="1" selected="0">
            <x v="38"/>
          </reference>
        </references>
      </pivotArea>
    </chartFormat>
    <chartFormat chart="9" format="21">
      <pivotArea type="data" outline="0" fieldPosition="0">
        <references count="2">
          <reference field="4294967294" count="1" selected="0">
            <x v="0"/>
          </reference>
          <reference field="6" count="1" selected="0">
            <x v="21"/>
          </reference>
        </references>
      </pivotArea>
    </chartFormat>
    <chartFormat chart="9" format="22">
      <pivotArea type="data" outline="0" fieldPosition="0">
        <references count="2">
          <reference field="4294967294" count="1" selected="0">
            <x v="0"/>
          </reference>
          <reference field="6" count="1" selected="0">
            <x v="7"/>
          </reference>
        </references>
      </pivotArea>
    </chartFormat>
    <chartFormat chart="9" format="23">
      <pivotArea type="data" outline="0" fieldPosition="0">
        <references count="2">
          <reference field="4294967294" count="1" selected="0">
            <x v="0"/>
          </reference>
          <reference field="6" count="1" selected="0">
            <x v="15"/>
          </reference>
        </references>
      </pivotArea>
    </chartFormat>
    <chartFormat chart="9" format="24">
      <pivotArea type="data" outline="0" fieldPosition="0">
        <references count="2">
          <reference field="4294967294" count="1" selected="0">
            <x v="0"/>
          </reference>
          <reference field="6" count="1" selected="0">
            <x v="40"/>
          </reference>
        </references>
      </pivotArea>
    </chartFormat>
    <chartFormat chart="9" format="25">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filters count="2">
    <filter fld="8" type="count" evalOrder="-1" id="1" iMeasureFld="0">
      <autoFilter ref="A1">
        <filterColumn colId="0">
          <top10 val="10" filterVal="10"/>
        </filterColumn>
      </autoFilter>
    </filter>
    <filter fld="6"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989636-3269-4255-B93D-F19242BFF8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4:C8" firstHeaderRow="1" firstDataRow="1" firstDataCol="1"/>
  <pivotFields count="20">
    <pivotField numFmtId="14" showAll="0"/>
    <pivotField numFmtId="1" showAll="0"/>
    <pivotField numFmtId="1" showAll="0">
      <items count="13">
        <item x="0"/>
        <item x="1"/>
        <item x="2"/>
        <item x="3"/>
        <item x="4"/>
        <item x="9"/>
        <item x="5"/>
        <item x="10"/>
        <item x="6"/>
        <item x="7"/>
        <item x="8"/>
        <item x="11"/>
        <item t="default"/>
      </items>
    </pivotField>
    <pivotField numFmtId="1" showAll="0"/>
    <pivotField showAll="0">
      <items count="13">
        <item x="0"/>
        <item x="1"/>
        <item x="2"/>
        <item x="3"/>
        <item x="4"/>
        <item x="9"/>
        <item x="5"/>
        <item x="10"/>
        <item x="6"/>
        <item x="7"/>
        <item x="8"/>
        <item x="11"/>
        <item t="default"/>
      </items>
    </pivotField>
    <pivotField showAll="0"/>
    <pivotField showAll="0" measureFilter="1" sortType="descending">
      <items count="105">
        <item x="100"/>
        <item x="77"/>
        <item x="69"/>
        <item x="46"/>
        <item x="40"/>
        <item x="13"/>
        <item x="18"/>
        <item x="4"/>
        <item x="78"/>
        <item x="73"/>
        <item x="56"/>
        <item x="88"/>
        <item x="83"/>
        <item x="55"/>
        <item x="91"/>
        <item x="51"/>
        <item x="34"/>
        <item x="93"/>
        <item x="58"/>
        <item x="53"/>
        <item x="30"/>
        <item x="98"/>
        <item x="45"/>
        <item x="6"/>
        <item x="21"/>
        <item x="86"/>
        <item x="57"/>
        <item x="60"/>
        <item x="47"/>
        <item x="5"/>
        <item x="75"/>
        <item x="54"/>
        <item x="52"/>
        <item x="102"/>
        <item x="36"/>
        <item x="85"/>
        <item x="81"/>
        <item x="103"/>
        <item x="25"/>
        <item x="67"/>
        <item x="7"/>
        <item x="42"/>
        <item x="92"/>
        <item x="9"/>
        <item x="59"/>
        <item x="87"/>
        <item x="44"/>
        <item x="72"/>
        <item x="2"/>
        <item x="17"/>
        <item x="76"/>
        <item x="12"/>
        <item x="61"/>
        <item x="31"/>
        <item x="10"/>
        <item x="99"/>
        <item x="50"/>
        <item x="27"/>
        <item x="82"/>
        <item x="48"/>
        <item x="32"/>
        <item x="28"/>
        <item x="65"/>
        <item x="80"/>
        <item x="22"/>
        <item x="90"/>
        <item x="41"/>
        <item x="1"/>
        <item x="79"/>
        <item x="96"/>
        <item x="49"/>
        <item x="64"/>
        <item x="14"/>
        <item x="62"/>
        <item x="33"/>
        <item x="24"/>
        <item x="63"/>
        <item x="23"/>
        <item x="84"/>
        <item x="43"/>
        <item x="29"/>
        <item x="0"/>
        <item x="66"/>
        <item x="38"/>
        <item x="39"/>
        <item x="71"/>
        <item x="26"/>
        <item x="16"/>
        <item x="70"/>
        <item x="8"/>
        <item x="68"/>
        <item x="89"/>
        <item x="74"/>
        <item x="97"/>
        <item x="19"/>
        <item x="3"/>
        <item x="95"/>
        <item x="20"/>
        <item x="11"/>
        <item x="101"/>
        <item x="94"/>
        <item x="35"/>
        <item x="15"/>
        <item x="37"/>
        <item t="default"/>
      </items>
      <autoSortScope>
        <pivotArea dataOnly="0" outline="0" fieldPosition="0">
          <references count="1">
            <reference field="4294967294" count="1" selected="0">
              <x v="0"/>
            </reference>
          </references>
        </pivotArea>
      </autoSortScope>
    </pivotField>
    <pivotField showAll="0" sortType="descending">
      <items count="19">
        <item x="10"/>
        <item x="9"/>
        <item x="11"/>
        <item x="16"/>
        <item x="7"/>
        <item x="1"/>
        <item x="12"/>
        <item x="0"/>
        <item x="17"/>
        <item x="14"/>
        <item x="15"/>
        <item x="8"/>
        <item x="2"/>
        <item x="4"/>
        <item x="6"/>
        <item x="3"/>
        <item x="13"/>
        <item x="5"/>
        <item t="default"/>
      </items>
      <autoSortScope>
        <pivotArea dataOnly="0" outline="0" fieldPosition="0">
          <references count="1">
            <reference field="4294967294" count="1" selected="0">
              <x v="0"/>
            </reference>
          </references>
        </pivotArea>
      </autoSortScope>
    </pivotField>
    <pivotField showAll="0" measureFilter="1" sortType="descending">
      <items count="31">
        <item x="7"/>
        <item x="19"/>
        <item x="27"/>
        <item x="15"/>
        <item x="24"/>
        <item x="8"/>
        <item x="11"/>
        <item x="28"/>
        <item x="17"/>
        <item x="22"/>
        <item x="18"/>
        <item x="29"/>
        <item x="16"/>
        <item x="25"/>
        <item x="26"/>
        <item x="3"/>
        <item x="4"/>
        <item x="0"/>
        <item x="1"/>
        <item x="2"/>
        <item x="21"/>
        <item x="14"/>
        <item x="23"/>
        <item x="10"/>
        <item x="9"/>
        <item x="12"/>
        <item x="13"/>
        <item x="6"/>
        <item x="5"/>
        <item x="2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measureFilter="1">
      <items count="15">
        <item x="1"/>
        <item x="10"/>
        <item x="12"/>
        <item x="5"/>
        <item x="4"/>
        <item x="11"/>
        <item x="7"/>
        <item x="0"/>
        <item x="6"/>
        <item x="3"/>
        <item x="9"/>
        <item x="13"/>
        <item x="2"/>
        <item x="8"/>
        <item t="default"/>
      </items>
    </pivotField>
    <pivotField showAll="0" measureFilter="1" sortType="ascending">
      <items count="73">
        <item x="14"/>
        <item x="41"/>
        <item x="38"/>
        <item x="64"/>
        <item x="40"/>
        <item x="29"/>
        <item x="52"/>
        <item x="16"/>
        <item x="21"/>
        <item x="34"/>
        <item x="37"/>
        <item x="65"/>
        <item x="67"/>
        <item x="31"/>
        <item x="35"/>
        <item x="47"/>
        <item x="33"/>
        <item x="53"/>
        <item x="54"/>
        <item x="48"/>
        <item x="39"/>
        <item x="36"/>
        <item x="46"/>
        <item x="58"/>
        <item x="60"/>
        <item x="66"/>
        <item x="30"/>
        <item x="55"/>
        <item x="56"/>
        <item x="43"/>
        <item x="42"/>
        <item x="28"/>
        <item x="18"/>
        <item x="27"/>
        <item x="19"/>
        <item x="62"/>
        <item x="5"/>
        <item x="9"/>
        <item x="7"/>
        <item x="8"/>
        <item x="2"/>
        <item x="0"/>
        <item x="1"/>
        <item x="3"/>
        <item x="4"/>
        <item x="6"/>
        <item x="50"/>
        <item x="24"/>
        <item x="51"/>
        <item x="59"/>
        <item x="45"/>
        <item x="49"/>
        <item x="20"/>
        <item x="61"/>
        <item x="22"/>
        <item x="25"/>
        <item x="63"/>
        <item x="70"/>
        <item x="32"/>
        <item x="71"/>
        <item x="68"/>
        <item x="26"/>
        <item x="57"/>
        <item x="23"/>
        <item x="17"/>
        <item x="13"/>
        <item x="12"/>
        <item x="15"/>
        <item x="11"/>
        <item x="10"/>
        <item x="69"/>
        <item x="44"/>
        <item t="default"/>
      </items>
      <autoSortScope>
        <pivotArea dataOnly="0" outline="0" fieldPosition="0">
          <references count="1">
            <reference field="4294967294" count="1" selected="0">
              <x v="0"/>
            </reference>
          </references>
        </pivotArea>
      </autoSortScope>
    </pivotField>
    <pivotField showAll="0"/>
    <pivotField showAll="0"/>
    <pivotField dataField="1" numFmtId="4" showAll="0"/>
    <pivotField showAll="0"/>
    <pivotField showAll="0"/>
    <pivotField showAll="0"/>
    <pivotField showAll="0"/>
    <pivotField axis="axisRow" showAll="0">
      <items count="4">
        <item x="0"/>
        <item x="2"/>
        <item x="1"/>
        <item t="default"/>
      </items>
    </pivotField>
  </pivotFields>
  <rowFields count="1">
    <field x="19"/>
  </rowFields>
  <rowItems count="4">
    <i>
      <x/>
    </i>
    <i>
      <x v="1"/>
    </i>
    <i>
      <x v="2"/>
    </i>
    <i t="grand">
      <x/>
    </i>
  </rowItems>
  <colItems count="1">
    <i/>
  </colItems>
  <dataFields count="1">
    <dataField name="Sum of Sales" fld="14" baseField="0" baseItem="0" numFmtId="4"/>
  </dataFields>
  <chartFormats count="8">
    <chartFormat chart="1"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3" format="17" series="1">
      <pivotArea type="data" outline="0" fieldPosition="0">
        <references count="1">
          <reference field="4294967294" count="1" selected="0">
            <x v="0"/>
          </reference>
        </references>
      </pivotArea>
    </chartFormat>
    <chartFormat chart="15" format="18" series="1">
      <pivotArea type="data" outline="0" fieldPosition="0">
        <references count="1">
          <reference field="4294967294" count="1" selected="0">
            <x v="0"/>
          </reference>
        </references>
      </pivotArea>
    </chartFormat>
    <chartFormat chart="16"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4">
    <filter fld="10" type="count" evalOrder="-1" id="2" iMeasureFld="0">
      <autoFilter ref="A1">
        <filterColumn colId="0">
          <top10 val="10" filterVal="10"/>
        </filterColumn>
      </autoFilter>
    </filter>
    <filter fld="6" type="count" evalOrder="-1" id="4" iMeasureFld="0">
      <autoFilter ref="A1">
        <filterColumn colId="0">
          <top10 val="10" filterVal="10"/>
        </filterColumn>
      </autoFilter>
    </filter>
    <filter fld="11" type="count" evalOrder="-1" id="5" iMeasureFld="0">
      <autoFilter ref="A1">
        <filterColumn colId="0">
          <top10 val="10" filterVal="10"/>
        </filterColumn>
      </autoFilter>
    </filter>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2C1E2C-5585-46B3-B97E-1490B1433B53}" sourceName="Months">
  <pivotTables>
    <pivotTable tabId="4" name="PivotTable1"/>
    <pivotTable tabId="3" name="PivotTable1"/>
    <pivotTable tabId="6" name="PivotTable1"/>
    <pivotTable tabId="7" name="PivotTable1"/>
    <pivotTable tabId="8" name="PivotTable1"/>
    <pivotTable tabId="9" name="PivotTable1"/>
  </pivotTables>
  <data>
    <tabular pivotCacheId="981525919">
      <items count="12">
        <i x="0" s="1"/>
        <i x="1" s="1"/>
        <i x="2" s="1"/>
        <i x="3" s="1"/>
        <i x="4" s="1"/>
        <i x="9" s="1"/>
        <i x="5" s="1"/>
        <i x="10" s="1"/>
        <i x="6" s="1"/>
        <i x="7" s="1"/>
        <i x="8"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er" xr10:uid="{7BFBC586-A57F-42D8-AF11-DC0B5591A179}" sourceName="Producer">
  <pivotTables>
    <pivotTable tabId="4" name="PivotTable1"/>
    <pivotTable tabId="3" name="PivotTable1"/>
    <pivotTable tabId="6" name="PivotTable1"/>
    <pivotTable tabId="7" name="PivotTable1"/>
    <pivotTable tabId="8" name="PivotTable1"/>
    <pivotTable tabId="9" name="PivotTable1"/>
    <pivotTable tabId="10" name="PivotTable1"/>
  </pivotTables>
  <data>
    <tabular pivotCacheId="981525919">
      <items count="18">
        <i x="10" s="1"/>
        <i x="9" s="1"/>
        <i x="11" s="1"/>
        <i x="16" s="1"/>
        <i x="7" s="1"/>
        <i x="1" s="1"/>
        <i x="12" s="1"/>
        <i x="0" s="1"/>
        <i x="17" s="1"/>
        <i x="14" s="1"/>
        <i x="15" s="1"/>
        <i x="8" s="1"/>
        <i x="2" s="1"/>
        <i x="4" s="1"/>
        <i x="6" s="1"/>
        <i x="3" s="1"/>
        <i x="1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4B120CF-0965-4705-9AF2-8EFDF61655F2}" sourceName="Product">
  <pivotTables>
    <pivotTable tabId="4" name="PivotTable1"/>
    <pivotTable tabId="3" name="PivotTable1"/>
    <pivotTable tabId="6" name="PivotTable1"/>
    <pivotTable tabId="7" name="PivotTable1"/>
    <pivotTable tabId="8" name="PivotTable1"/>
    <pivotTable tabId="9" name="PivotTable1"/>
    <pivotTable tabId="10" name="PivotTable1"/>
  </pivotTables>
  <data>
    <tabular pivotCacheId="981525919">
      <items count="30">
        <i x="7" s="1"/>
        <i x="19" s="1"/>
        <i x="27" s="1"/>
        <i x="15" s="1"/>
        <i x="24" s="1"/>
        <i x="8" s="1"/>
        <i x="11" s="1"/>
        <i x="28" s="1"/>
        <i x="17" s="1"/>
        <i x="22" s="1"/>
        <i x="18" s="1"/>
        <i x="29" s="1"/>
        <i x="16" s="1"/>
        <i x="25" s="1"/>
        <i x="26" s="1"/>
        <i x="3" s="1"/>
        <i x="4" s="1"/>
        <i x="0" s="1"/>
        <i x="1" s="1"/>
        <i x="2" s="1"/>
        <i x="21" s="1"/>
        <i x="14" s="1"/>
        <i x="23" s="1"/>
        <i x="10" s="1"/>
        <i x="9" s="1"/>
        <i x="12" s="1"/>
        <i x="13" s="1"/>
        <i x="6" s="1"/>
        <i x="5" s="1"/>
        <i x="2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2ADB63E-1255-4262-B2EB-49DC5E1DA15F}" sourceName="Category">
  <pivotTables>
    <pivotTable tabId="4" name="PivotTable1"/>
    <pivotTable tabId="3" name="PivotTable1"/>
    <pivotTable tabId="6" name="PivotTable1"/>
    <pivotTable tabId="7" name="PivotTable1"/>
    <pivotTable tabId="8" name="PivotTable1"/>
    <pivotTable tabId="9" name="PivotTable1"/>
  </pivotTables>
  <data>
    <tabular pivotCacheId="981525919">
      <items count="14">
        <i x="1" s="1"/>
        <i x="10" s="1"/>
        <i x="12" s="1"/>
        <i x="5" s="1"/>
        <i x="4" s="1"/>
        <i x="11" s="1"/>
        <i x="7" s="1"/>
        <i x="0" s="1"/>
        <i x="6" s="1"/>
        <i x="3" s="1"/>
        <i x="9" s="1"/>
        <i x="13" s="1"/>
        <i x="2"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Channel" xr10:uid="{7A24E1F0-79DC-4F47-B5B9-319E76938D64}" sourceName="Order Channel">
  <pivotTables>
    <pivotTable tabId="4" name="PivotTable1"/>
    <pivotTable tabId="3" name="PivotTable1"/>
    <pivotTable tabId="6" name="PivotTable1"/>
    <pivotTable tabId="7" name="PivotTable1"/>
    <pivotTable tabId="8" name="PivotTable1"/>
    <pivotTable tabId="9" name="PivotTable1"/>
    <pivotTable tabId="10" name="PivotTable1"/>
  </pivotTables>
  <data>
    <tabular pivotCacheId="98152591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F4F679D2-9949-4E72-8F64-54564509C814}" cache="Slicer_Months" caption="Months" columnCount="2" style="SlicerStyleOther2" rowHeight="288000"/>
  <slicer name="Producer" xr10:uid="{FB2B644F-E7A8-49AB-9E0D-C26ED6269534}" cache="Slicer_Producer" caption="Producer" columnCount="2" style="SlicerStyleOther2" rowHeight="288000"/>
  <slicer name="Product" xr10:uid="{A080D692-B446-416A-9AC6-00A9AB6FF1D8}" cache="Slicer_Product" caption="Product" columnCount="2" style="SlicerStyleOther2" rowHeight="288000"/>
  <slicer name="Category" xr10:uid="{B7AE06B4-BA7E-4EEB-A30C-7C12CE641AAF}" cache="Slicer_Category" caption="Category" columnCount="2" style="SlicerStyleOther2" rowHeight="288000"/>
  <slicer name="Order Channel" xr10:uid="{82C5B0F2-81E8-45B8-B57A-BECA80B3A2AB}" cache="Slicer_Order_Channel" caption="Order Channel" columnCount="2"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87F47-08CA-4B33-904B-50F087E59C4D}">
  <dimension ref="A1:T435"/>
  <sheetViews>
    <sheetView workbookViewId="0">
      <selection sqref="A1:T435"/>
    </sheetView>
  </sheetViews>
  <sheetFormatPr defaultRowHeight="14.5" x14ac:dyDescent="0.35"/>
  <sheetData>
    <row r="1" spans="1:20" x14ac:dyDescent="0.35">
      <c r="A1" s="1" t="s">
        <v>0</v>
      </c>
      <c r="B1" s="2" t="s">
        <v>1</v>
      </c>
      <c r="C1" s="2" t="s">
        <v>2</v>
      </c>
      <c r="D1" s="2" t="s">
        <v>3</v>
      </c>
      <c r="E1" s="2" t="s">
        <v>4</v>
      </c>
      <c r="F1" s="3" t="s">
        <v>5</v>
      </c>
      <c r="G1" s="3" t="s">
        <v>6</v>
      </c>
      <c r="H1" s="3" t="s">
        <v>7</v>
      </c>
      <c r="I1" s="3" t="s">
        <v>8</v>
      </c>
      <c r="J1" s="3" t="s">
        <v>9</v>
      </c>
      <c r="K1" s="3" t="s">
        <v>10</v>
      </c>
      <c r="L1" s="3" t="s">
        <v>11</v>
      </c>
      <c r="M1" s="3" t="s">
        <v>12</v>
      </c>
      <c r="N1" s="3" t="s">
        <v>13</v>
      </c>
      <c r="O1" s="3" t="s">
        <v>14</v>
      </c>
      <c r="P1" s="3" t="s">
        <v>15</v>
      </c>
      <c r="Q1" s="3" t="s">
        <v>16</v>
      </c>
      <c r="R1" s="1" t="s">
        <v>17</v>
      </c>
      <c r="S1" s="3" t="s">
        <v>18</v>
      </c>
      <c r="T1" s="3" t="s">
        <v>19</v>
      </c>
    </row>
    <row r="2" spans="1:20" x14ac:dyDescent="0.35">
      <c r="A2" s="4">
        <v>43842</v>
      </c>
      <c r="B2" s="5"/>
      <c r="C2" s="5"/>
      <c r="D2" s="5"/>
      <c r="E2" s="5"/>
      <c r="F2" s="6" t="s">
        <v>20</v>
      </c>
      <c r="G2" s="6" t="s">
        <v>21</v>
      </c>
      <c r="H2" s="6" t="s">
        <v>22</v>
      </c>
      <c r="I2" s="6" t="s">
        <v>23</v>
      </c>
      <c r="J2" s="6" t="s">
        <v>24</v>
      </c>
      <c r="K2" s="6" t="s">
        <v>25</v>
      </c>
      <c r="L2" s="6" t="s">
        <v>26</v>
      </c>
      <c r="M2" s="6">
        <v>2</v>
      </c>
      <c r="N2" s="7">
        <v>7000</v>
      </c>
      <c r="O2" s="7"/>
      <c r="P2" s="6" t="s">
        <v>27</v>
      </c>
      <c r="Q2" s="6" t="s">
        <v>28</v>
      </c>
      <c r="R2" s="4">
        <v>43873</v>
      </c>
      <c r="S2" s="6" t="s">
        <v>29</v>
      </c>
      <c r="T2" s="6" t="s">
        <v>30</v>
      </c>
    </row>
    <row r="3" spans="1:20" x14ac:dyDescent="0.35">
      <c r="A3" s="4">
        <v>43842</v>
      </c>
      <c r="B3" s="5"/>
      <c r="C3" s="5"/>
      <c r="D3" s="5"/>
      <c r="E3" s="5"/>
      <c r="F3" s="6" t="s">
        <v>20</v>
      </c>
      <c r="G3" s="6" t="s">
        <v>21</v>
      </c>
      <c r="H3" s="6" t="s">
        <v>22</v>
      </c>
      <c r="I3" s="6" t="s">
        <v>23</v>
      </c>
      <c r="J3" s="6" t="s">
        <v>24</v>
      </c>
      <c r="K3" s="6" t="s">
        <v>25</v>
      </c>
      <c r="L3" s="6" t="s">
        <v>31</v>
      </c>
      <c r="M3" s="6">
        <v>1</v>
      </c>
      <c r="N3" s="7">
        <v>7000</v>
      </c>
      <c r="O3" s="7"/>
      <c r="P3" s="6" t="s">
        <v>27</v>
      </c>
      <c r="Q3" s="6" t="s">
        <v>28</v>
      </c>
      <c r="R3" s="4">
        <v>43873</v>
      </c>
      <c r="S3" s="6" t="s">
        <v>29</v>
      </c>
      <c r="T3" s="6" t="s">
        <v>30</v>
      </c>
    </row>
    <row r="4" spans="1:20" x14ac:dyDescent="0.35">
      <c r="A4" s="4">
        <v>43842</v>
      </c>
      <c r="B4" s="5"/>
      <c r="C4" s="5"/>
      <c r="D4" s="5"/>
      <c r="E4" s="5"/>
      <c r="F4" s="6" t="s">
        <v>20</v>
      </c>
      <c r="G4" s="6" t="s">
        <v>21</v>
      </c>
      <c r="H4" s="6" t="s">
        <v>22</v>
      </c>
      <c r="I4" s="6" t="s">
        <v>23</v>
      </c>
      <c r="J4" s="6" t="s">
        <v>24</v>
      </c>
      <c r="K4" s="6" t="s">
        <v>25</v>
      </c>
      <c r="L4" s="6" t="s">
        <v>32</v>
      </c>
      <c r="M4" s="6">
        <v>1</v>
      </c>
      <c r="N4" s="7">
        <v>7000</v>
      </c>
      <c r="O4" s="7"/>
      <c r="P4" s="6" t="s">
        <v>27</v>
      </c>
      <c r="Q4" s="6" t="s">
        <v>28</v>
      </c>
      <c r="R4" s="4">
        <v>43873</v>
      </c>
      <c r="S4" s="6" t="s">
        <v>29</v>
      </c>
      <c r="T4" s="6" t="s">
        <v>30</v>
      </c>
    </row>
    <row r="5" spans="1:20" x14ac:dyDescent="0.35">
      <c r="A5" s="4">
        <v>43842</v>
      </c>
      <c r="B5" s="5"/>
      <c r="C5" s="5"/>
      <c r="D5" s="5"/>
      <c r="E5" s="5"/>
      <c r="F5" s="6" t="s">
        <v>33</v>
      </c>
      <c r="G5" s="6" t="s">
        <v>34</v>
      </c>
      <c r="H5" s="6" t="s">
        <v>22</v>
      </c>
      <c r="I5" s="6" t="s">
        <v>23</v>
      </c>
      <c r="J5" s="6" t="s">
        <v>24</v>
      </c>
      <c r="K5" s="6" t="s">
        <v>25</v>
      </c>
      <c r="L5" s="6" t="s">
        <v>26</v>
      </c>
      <c r="M5" s="6">
        <v>1</v>
      </c>
      <c r="N5" s="7">
        <v>7000</v>
      </c>
      <c r="O5" s="7"/>
      <c r="P5" s="6" t="s">
        <v>27</v>
      </c>
      <c r="Q5" s="6" t="s">
        <v>35</v>
      </c>
      <c r="R5" s="4">
        <v>43873</v>
      </c>
      <c r="S5" s="6" t="s">
        <v>29</v>
      </c>
      <c r="T5" s="6" t="s">
        <v>36</v>
      </c>
    </row>
    <row r="6" spans="1:20" x14ac:dyDescent="0.35">
      <c r="A6" s="4">
        <v>43842</v>
      </c>
      <c r="B6" s="5"/>
      <c r="C6" s="5"/>
      <c r="D6" s="5"/>
      <c r="E6" s="5"/>
      <c r="F6" s="6" t="s">
        <v>33</v>
      </c>
      <c r="G6" s="6" t="s">
        <v>34</v>
      </c>
      <c r="H6" s="6" t="s">
        <v>22</v>
      </c>
      <c r="I6" s="6" t="s">
        <v>23</v>
      </c>
      <c r="J6" s="6" t="s">
        <v>24</v>
      </c>
      <c r="K6" s="6" t="s">
        <v>25</v>
      </c>
      <c r="L6" s="6" t="s">
        <v>32</v>
      </c>
      <c r="M6" s="6">
        <v>1</v>
      </c>
      <c r="N6" s="7">
        <v>7000</v>
      </c>
      <c r="O6" s="7"/>
      <c r="P6" s="6" t="s">
        <v>27</v>
      </c>
      <c r="Q6" s="6" t="s">
        <v>35</v>
      </c>
      <c r="R6" s="4">
        <v>43873</v>
      </c>
      <c r="S6" s="6" t="s">
        <v>29</v>
      </c>
      <c r="T6" s="6" t="s">
        <v>36</v>
      </c>
    </row>
    <row r="7" spans="1:20" x14ac:dyDescent="0.35">
      <c r="A7" s="4">
        <v>43842</v>
      </c>
      <c r="B7" s="5"/>
      <c r="C7" s="5"/>
      <c r="D7" s="5"/>
      <c r="E7" s="5"/>
      <c r="F7" s="6" t="s">
        <v>37</v>
      </c>
      <c r="G7" s="6" t="s">
        <v>38</v>
      </c>
      <c r="H7" s="6" t="s">
        <v>39</v>
      </c>
      <c r="I7" s="6" t="s">
        <v>40</v>
      </c>
      <c r="J7" s="6" t="s">
        <v>24</v>
      </c>
      <c r="K7" s="6" t="s">
        <v>41</v>
      </c>
      <c r="L7" s="6" t="s">
        <v>42</v>
      </c>
      <c r="M7" s="6">
        <v>1</v>
      </c>
      <c r="N7" s="7">
        <v>16800</v>
      </c>
      <c r="O7" s="7"/>
      <c r="P7" s="6" t="s">
        <v>27</v>
      </c>
      <c r="Q7" s="6" t="s">
        <v>43</v>
      </c>
      <c r="R7" s="4">
        <v>43873</v>
      </c>
      <c r="S7" s="6" t="s">
        <v>29</v>
      </c>
      <c r="T7" s="6" t="s">
        <v>30</v>
      </c>
    </row>
    <row r="8" spans="1:20" x14ac:dyDescent="0.35">
      <c r="A8" s="4">
        <v>43842</v>
      </c>
      <c r="B8" s="5"/>
      <c r="C8" s="5"/>
      <c r="D8" s="5"/>
      <c r="E8" s="5"/>
      <c r="F8" s="6" t="s">
        <v>37</v>
      </c>
      <c r="G8" s="6" t="s">
        <v>38</v>
      </c>
      <c r="H8" s="6" t="s">
        <v>44</v>
      </c>
      <c r="I8" s="6" t="s">
        <v>45</v>
      </c>
      <c r="J8" s="6" t="s">
        <v>24</v>
      </c>
      <c r="K8" s="6" t="s">
        <v>41</v>
      </c>
      <c r="L8" s="6" t="s">
        <v>46</v>
      </c>
      <c r="M8" s="6">
        <v>1</v>
      </c>
      <c r="N8" s="7">
        <v>24350</v>
      </c>
      <c r="O8" s="7"/>
      <c r="P8" s="6" t="s">
        <v>27</v>
      </c>
      <c r="Q8" s="6" t="s">
        <v>43</v>
      </c>
      <c r="R8" s="4">
        <v>43873</v>
      </c>
      <c r="S8" s="6" t="s">
        <v>29</v>
      </c>
      <c r="T8" s="6" t="s">
        <v>30</v>
      </c>
    </row>
    <row r="9" spans="1:20" x14ac:dyDescent="0.35">
      <c r="A9" s="4">
        <v>43873</v>
      </c>
      <c r="B9" s="5"/>
      <c r="C9" s="5"/>
      <c r="D9" s="5"/>
      <c r="E9" s="5"/>
      <c r="F9" s="6" t="s">
        <v>47</v>
      </c>
      <c r="G9" s="6" t="s">
        <v>48</v>
      </c>
      <c r="H9" s="6" t="s">
        <v>22</v>
      </c>
      <c r="I9" s="6" t="s">
        <v>49</v>
      </c>
      <c r="J9" s="6" t="s">
        <v>24</v>
      </c>
      <c r="K9" s="6" t="s">
        <v>25</v>
      </c>
      <c r="L9" s="6" t="s">
        <v>50</v>
      </c>
      <c r="M9" s="6">
        <v>1</v>
      </c>
      <c r="N9" s="7">
        <v>12200</v>
      </c>
      <c r="O9" s="7"/>
      <c r="P9" s="6" t="s">
        <v>27</v>
      </c>
      <c r="Q9" s="6" t="s">
        <v>35</v>
      </c>
      <c r="R9" s="4">
        <v>43902</v>
      </c>
      <c r="S9" s="6" t="s">
        <v>29</v>
      </c>
      <c r="T9" s="6" t="s">
        <v>36</v>
      </c>
    </row>
    <row r="10" spans="1:20" x14ac:dyDescent="0.35">
      <c r="A10" s="4">
        <v>43873</v>
      </c>
      <c r="B10" s="5"/>
      <c r="C10" s="5"/>
      <c r="D10" s="5"/>
      <c r="E10" s="5"/>
      <c r="F10" s="6" t="s">
        <v>47</v>
      </c>
      <c r="G10" s="6" t="s">
        <v>48</v>
      </c>
      <c r="H10" s="6" t="s">
        <v>22</v>
      </c>
      <c r="I10" s="6" t="s">
        <v>23</v>
      </c>
      <c r="J10" s="6" t="s">
        <v>24</v>
      </c>
      <c r="K10" s="6" t="s">
        <v>25</v>
      </c>
      <c r="L10" s="6" t="s">
        <v>32</v>
      </c>
      <c r="M10" s="6">
        <v>1</v>
      </c>
      <c r="N10" s="7">
        <v>7000</v>
      </c>
      <c r="O10" s="7"/>
      <c r="P10" s="6" t="s">
        <v>27</v>
      </c>
      <c r="Q10" s="6" t="s">
        <v>35</v>
      </c>
      <c r="R10" s="4">
        <v>43902</v>
      </c>
      <c r="S10" s="6" t="s">
        <v>29</v>
      </c>
      <c r="T10" s="6" t="s">
        <v>36</v>
      </c>
    </row>
    <row r="11" spans="1:20" x14ac:dyDescent="0.35">
      <c r="A11" s="4">
        <v>43873</v>
      </c>
      <c r="B11" s="5"/>
      <c r="C11" s="5"/>
      <c r="D11" s="5"/>
      <c r="E11" s="5"/>
      <c r="F11" s="6" t="s">
        <v>51</v>
      </c>
      <c r="G11" s="6" t="s">
        <v>21</v>
      </c>
      <c r="H11" s="6" t="s">
        <v>22</v>
      </c>
      <c r="I11" s="6" t="s">
        <v>23</v>
      </c>
      <c r="J11" s="6" t="s">
        <v>24</v>
      </c>
      <c r="K11" s="6" t="s">
        <v>25</v>
      </c>
      <c r="L11" s="6" t="s">
        <v>26</v>
      </c>
      <c r="M11" s="6">
        <v>5</v>
      </c>
      <c r="N11" s="7">
        <v>7000</v>
      </c>
      <c r="O11" s="7"/>
      <c r="P11" s="6" t="s">
        <v>27</v>
      </c>
      <c r="Q11" s="6" t="s">
        <v>52</v>
      </c>
      <c r="R11" s="4">
        <v>43902</v>
      </c>
      <c r="S11" s="6" t="s">
        <v>29</v>
      </c>
      <c r="T11" s="6" t="s">
        <v>30</v>
      </c>
    </row>
    <row r="12" spans="1:20" x14ac:dyDescent="0.35">
      <c r="A12" s="4">
        <v>43873</v>
      </c>
      <c r="B12" s="5"/>
      <c r="C12" s="5"/>
      <c r="D12" s="5"/>
      <c r="E12" s="5"/>
      <c r="F12" s="6" t="s">
        <v>51</v>
      </c>
      <c r="G12" s="6" t="s">
        <v>21</v>
      </c>
      <c r="H12" s="6" t="s">
        <v>22</v>
      </c>
      <c r="I12" s="6" t="s">
        <v>23</v>
      </c>
      <c r="J12" s="6" t="s">
        <v>24</v>
      </c>
      <c r="K12" s="6" t="s">
        <v>25</v>
      </c>
      <c r="L12" s="6" t="s">
        <v>31</v>
      </c>
      <c r="M12" s="6">
        <v>5</v>
      </c>
      <c r="N12" s="7">
        <v>7000</v>
      </c>
      <c r="O12" s="7"/>
      <c r="P12" s="6" t="s">
        <v>27</v>
      </c>
      <c r="Q12" s="6" t="s">
        <v>52</v>
      </c>
      <c r="R12" s="4">
        <v>43902</v>
      </c>
      <c r="S12" s="6" t="s">
        <v>29</v>
      </c>
      <c r="T12" s="6" t="s">
        <v>30</v>
      </c>
    </row>
    <row r="13" spans="1:20" x14ac:dyDescent="0.35">
      <c r="A13" s="4">
        <v>43873</v>
      </c>
      <c r="B13" s="5"/>
      <c r="C13" s="5"/>
      <c r="D13" s="5"/>
      <c r="E13" s="5"/>
      <c r="F13" s="6" t="s">
        <v>51</v>
      </c>
      <c r="G13" s="6" t="s">
        <v>21</v>
      </c>
      <c r="H13" s="6" t="s">
        <v>22</v>
      </c>
      <c r="I13" s="6" t="s">
        <v>23</v>
      </c>
      <c r="J13" s="6" t="s">
        <v>24</v>
      </c>
      <c r="K13" s="6" t="s">
        <v>25</v>
      </c>
      <c r="L13" s="6" t="s">
        <v>32</v>
      </c>
      <c r="M13" s="6">
        <v>5</v>
      </c>
      <c r="N13" s="7">
        <v>7000</v>
      </c>
      <c r="O13" s="7"/>
      <c r="P13" s="6" t="s">
        <v>27</v>
      </c>
      <c r="Q13" s="6" t="s">
        <v>52</v>
      </c>
      <c r="R13" s="4">
        <v>43902</v>
      </c>
      <c r="S13" s="6" t="s">
        <v>29</v>
      </c>
      <c r="T13" s="6" t="s">
        <v>30</v>
      </c>
    </row>
    <row r="14" spans="1:20" x14ac:dyDescent="0.35">
      <c r="A14" s="4">
        <v>43873</v>
      </c>
      <c r="B14" s="5"/>
      <c r="C14" s="5"/>
      <c r="D14" s="5"/>
      <c r="E14" s="5"/>
      <c r="F14" s="6" t="s">
        <v>53</v>
      </c>
      <c r="G14" s="6" t="s">
        <v>21</v>
      </c>
      <c r="H14" s="6" t="s">
        <v>22</v>
      </c>
      <c r="I14" s="6" t="s">
        <v>23</v>
      </c>
      <c r="J14" s="6" t="s">
        <v>24</v>
      </c>
      <c r="K14" s="6" t="s">
        <v>25</v>
      </c>
      <c r="L14" s="6" t="s">
        <v>26</v>
      </c>
      <c r="M14" s="6">
        <v>5</v>
      </c>
      <c r="N14" s="7">
        <v>7000</v>
      </c>
      <c r="O14" s="7"/>
      <c r="P14" s="6" t="s">
        <v>27</v>
      </c>
      <c r="Q14" s="6" t="s">
        <v>52</v>
      </c>
      <c r="R14" s="4">
        <v>43902</v>
      </c>
      <c r="S14" s="6" t="s">
        <v>29</v>
      </c>
      <c r="T14" s="6" t="s">
        <v>30</v>
      </c>
    </row>
    <row r="15" spans="1:20" x14ac:dyDescent="0.35">
      <c r="A15" s="4">
        <v>43842</v>
      </c>
      <c r="B15" s="5"/>
      <c r="C15" s="5"/>
      <c r="D15" s="5"/>
      <c r="E15" s="5"/>
      <c r="F15" s="6" t="s">
        <v>54</v>
      </c>
      <c r="G15" s="6" t="s">
        <v>55</v>
      </c>
      <c r="H15" s="6" t="s">
        <v>39</v>
      </c>
      <c r="I15" s="6" t="s">
        <v>40</v>
      </c>
      <c r="J15" s="6" t="s">
        <v>24</v>
      </c>
      <c r="K15" s="6" t="s">
        <v>41</v>
      </c>
      <c r="L15" s="6" t="s">
        <v>42</v>
      </c>
      <c r="M15" s="6">
        <v>1</v>
      </c>
      <c r="N15" s="7">
        <v>16800</v>
      </c>
      <c r="O15" s="7"/>
      <c r="P15" s="6" t="s">
        <v>27</v>
      </c>
      <c r="Q15" s="6" t="s">
        <v>43</v>
      </c>
      <c r="R15" s="4">
        <v>43902</v>
      </c>
      <c r="S15" s="6" t="s">
        <v>56</v>
      </c>
      <c r="T15" s="6" t="s">
        <v>30</v>
      </c>
    </row>
    <row r="16" spans="1:20" x14ac:dyDescent="0.35">
      <c r="A16" s="4">
        <v>43902</v>
      </c>
      <c r="B16" s="5"/>
      <c r="C16" s="5"/>
      <c r="D16" s="5"/>
      <c r="E16" s="5"/>
      <c r="F16" s="6" t="s">
        <v>57</v>
      </c>
      <c r="G16" s="6" t="s">
        <v>58</v>
      </c>
      <c r="H16" s="6" t="s">
        <v>22</v>
      </c>
      <c r="I16" s="6" t="s">
        <v>23</v>
      </c>
      <c r="J16" s="6" t="s">
        <v>24</v>
      </c>
      <c r="K16" s="6" t="s">
        <v>25</v>
      </c>
      <c r="L16" s="6" t="s">
        <v>32</v>
      </c>
      <c r="M16" s="6">
        <v>1</v>
      </c>
      <c r="N16" s="7">
        <v>7480</v>
      </c>
      <c r="O16" s="7"/>
      <c r="P16" s="6" t="s">
        <v>27</v>
      </c>
      <c r="Q16" s="6" t="s">
        <v>52</v>
      </c>
      <c r="R16" s="4">
        <v>43933</v>
      </c>
      <c r="S16" s="6" t="s">
        <v>29</v>
      </c>
      <c r="T16" s="6" t="s">
        <v>36</v>
      </c>
    </row>
    <row r="17" spans="1:20" x14ac:dyDescent="0.35">
      <c r="A17" s="4">
        <v>43933</v>
      </c>
      <c r="B17" s="5"/>
      <c r="C17" s="5"/>
      <c r="D17" s="5"/>
      <c r="E17" s="5"/>
      <c r="F17" s="6" t="s">
        <v>59</v>
      </c>
      <c r="G17" s="6" t="s">
        <v>60</v>
      </c>
      <c r="H17" s="6" t="s">
        <v>39</v>
      </c>
      <c r="I17" s="6" t="s">
        <v>40</v>
      </c>
      <c r="J17" s="6" t="s">
        <v>24</v>
      </c>
      <c r="K17" s="6" t="s">
        <v>41</v>
      </c>
      <c r="L17" s="6" t="s">
        <v>42</v>
      </c>
      <c r="M17" s="6">
        <v>1</v>
      </c>
      <c r="N17" s="7">
        <v>16800</v>
      </c>
      <c r="O17" s="7"/>
      <c r="P17" s="6" t="s">
        <v>27</v>
      </c>
      <c r="Q17" s="6" t="s">
        <v>61</v>
      </c>
      <c r="R17" s="4">
        <v>43963</v>
      </c>
      <c r="S17" s="6" t="s">
        <v>29</v>
      </c>
      <c r="T17" s="6" t="s">
        <v>30</v>
      </c>
    </row>
    <row r="18" spans="1:20" x14ac:dyDescent="0.35">
      <c r="A18" s="4">
        <v>43933</v>
      </c>
      <c r="B18" s="5"/>
      <c r="C18" s="5"/>
      <c r="D18" s="5"/>
      <c r="E18" s="5"/>
      <c r="F18" s="6" t="s">
        <v>62</v>
      </c>
      <c r="G18" s="6" t="s">
        <v>63</v>
      </c>
      <c r="H18" s="6" t="s">
        <v>22</v>
      </c>
      <c r="I18" s="6" t="s">
        <v>49</v>
      </c>
      <c r="J18" s="6" t="s">
        <v>24</v>
      </c>
      <c r="K18" s="6" t="s">
        <v>25</v>
      </c>
      <c r="L18" s="6" t="s">
        <v>50</v>
      </c>
      <c r="M18" s="6">
        <v>1</v>
      </c>
      <c r="N18" s="7">
        <v>13100</v>
      </c>
      <c r="O18" s="7"/>
      <c r="P18" s="6" t="s">
        <v>27</v>
      </c>
      <c r="Q18" s="6" t="s">
        <v>64</v>
      </c>
      <c r="R18" s="4">
        <v>43963</v>
      </c>
      <c r="S18" s="6" t="s">
        <v>29</v>
      </c>
      <c r="T18" s="6" t="s">
        <v>65</v>
      </c>
    </row>
    <row r="19" spans="1:20" x14ac:dyDescent="0.35">
      <c r="A19" s="4">
        <v>43933</v>
      </c>
      <c r="B19" s="5"/>
      <c r="C19" s="5"/>
      <c r="D19" s="5"/>
      <c r="E19" s="5"/>
      <c r="F19" s="6" t="s">
        <v>66</v>
      </c>
      <c r="G19" s="6" t="s">
        <v>67</v>
      </c>
      <c r="H19" s="6" t="s">
        <v>44</v>
      </c>
      <c r="I19" s="6" t="s">
        <v>45</v>
      </c>
      <c r="J19" s="6" t="s">
        <v>24</v>
      </c>
      <c r="K19" s="6" t="s">
        <v>41</v>
      </c>
      <c r="L19" s="6" t="s">
        <v>68</v>
      </c>
      <c r="M19" s="6">
        <v>1</v>
      </c>
      <c r="N19" s="7">
        <v>24350</v>
      </c>
      <c r="O19" s="7"/>
      <c r="P19" s="6" t="s">
        <v>27</v>
      </c>
      <c r="Q19" s="6" t="s">
        <v>52</v>
      </c>
      <c r="R19" s="4">
        <v>43994</v>
      </c>
      <c r="S19" s="6" t="s">
        <v>29</v>
      </c>
      <c r="T19" s="6" t="s">
        <v>65</v>
      </c>
    </row>
    <row r="20" spans="1:20" x14ac:dyDescent="0.35">
      <c r="A20" s="4">
        <v>43933</v>
      </c>
      <c r="B20" s="5"/>
      <c r="C20" s="5"/>
      <c r="D20" s="5"/>
      <c r="E20" s="5"/>
      <c r="F20" s="6" t="s">
        <v>66</v>
      </c>
      <c r="G20" s="6" t="s">
        <v>67</v>
      </c>
      <c r="H20" s="6" t="s">
        <v>22</v>
      </c>
      <c r="I20" s="6" t="s">
        <v>49</v>
      </c>
      <c r="J20" s="6" t="s">
        <v>24</v>
      </c>
      <c r="K20" s="6" t="s">
        <v>25</v>
      </c>
      <c r="L20" s="6" t="s">
        <v>50</v>
      </c>
      <c r="M20" s="6">
        <v>2</v>
      </c>
      <c r="N20" s="7">
        <v>13100</v>
      </c>
      <c r="O20" s="7"/>
      <c r="P20" s="6" t="s">
        <v>27</v>
      </c>
      <c r="Q20" s="6" t="s">
        <v>52</v>
      </c>
      <c r="R20" s="4">
        <v>43994</v>
      </c>
      <c r="S20" s="6" t="s">
        <v>29</v>
      </c>
      <c r="T20" s="6" t="s">
        <v>65</v>
      </c>
    </row>
    <row r="21" spans="1:20" x14ac:dyDescent="0.35">
      <c r="A21" s="4">
        <v>43933</v>
      </c>
      <c r="B21" s="5"/>
      <c r="C21" s="5"/>
      <c r="D21" s="5"/>
      <c r="E21" s="5"/>
      <c r="F21" s="6" t="s">
        <v>66</v>
      </c>
      <c r="G21" s="6" t="s">
        <v>67</v>
      </c>
      <c r="H21" s="6" t="s">
        <v>22</v>
      </c>
      <c r="I21" s="6" t="s">
        <v>69</v>
      </c>
      <c r="J21" s="6" t="s">
        <v>24</v>
      </c>
      <c r="K21" s="6" t="s">
        <v>25</v>
      </c>
      <c r="L21" s="6" t="s">
        <v>70</v>
      </c>
      <c r="M21" s="6">
        <v>5</v>
      </c>
      <c r="N21" s="7">
        <v>4700</v>
      </c>
      <c r="O21" s="7"/>
      <c r="P21" s="6" t="s">
        <v>27</v>
      </c>
      <c r="Q21" s="6" t="s">
        <v>52</v>
      </c>
      <c r="R21" s="4">
        <v>43994</v>
      </c>
      <c r="S21" s="6" t="s">
        <v>29</v>
      </c>
      <c r="T21" s="6" t="s">
        <v>65</v>
      </c>
    </row>
    <row r="22" spans="1:20" x14ac:dyDescent="0.35">
      <c r="A22" s="4">
        <v>43933</v>
      </c>
      <c r="B22" s="5"/>
      <c r="C22" s="5"/>
      <c r="D22" s="5"/>
      <c r="E22" s="5"/>
      <c r="F22" s="6" t="s">
        <v>66</v>
      </c>
      <c r="G22" s="6" t="s">
        <v>67</v>
      </c>
      <c r="H22" s="6" t="s">
        <v>22</v>
      </c>
      <c r="I22" s="6" t="s">
        <v>23</v>
      </c>
      <c r="J22" s="6" t="s">
        <v>24</v>
      </c>
      <c r="K22" s="6" t="s">
        <v>25</v>
      </c>
      <c r="L22" s="6" t="s">
        <v>32</v>
      </c>
      <c r="M22" s="6">
        <v>3</v>
      </c>
      <c r="N22" s="7">
        <v>7480</v>
      </c>
      <c r="O22" s="7"/>
      <c r="P22" s="6" t="s">
        <v>27</v>
      </c>
      <c r="Q22" s="6" t="s">
        <v>52</v>
      </c>
      <c r="R22" s="4">
        <v>43994</v>
      </c>
      <c r="S22" s="6" t="s">
        <v>29</v>
      </c>
      <c r="T22" s="6" t="s">
        <v>65</v>
      </c>
    </row>
    <row r="23" spans="1:20" x14ac:dyDescent="0.35">
      <c r="A23" s="4">
        <v>43933</v>
      </c>
      <c r="B23" s="5"/>
      <c r="C23" s="5"/>
      <c r="D23" s="5"/>
      <c r="E23" s="5"/>
      <c r="F23" s="6" t="s">
        <v>66</v>
      </c>
      <c r="G23" s="6" t="s">
        <v>67</v>
      </c>
      <c r="H23" s="6" t="s">
        <v>22</v>
      </c>
      <c r="I23" s="6" t="s">
        <v>23</v>
      </c>
      <c r="J23" s="6" t="s">
        <v>24</v>
      </c>
      <c r="K23" s="6" t="s">
        <v>25</v>
      </c>
      <c r="L23" s="6" t="s">
        <v>26</v>
      </c>
      <c r="M23" s="6">
        <v>3</v>
      </c>
      <c r="N23" s="7">
        <v>7480</v>
      </c>
      <c r="O23" s="7"/>
      <c r="P23" s="6" t="s">
        <v>27</v>
      </c>
      <c r="Q23" s="6" t="s">
        <v>52</v>
      </c>
      <c r="R23" s="4">
        <v>43994</v>
      </c>
      <c r="S23" s="6" t="s">
        <v>29</v>
      </c>
      <c r="T23" s="6" t="s">
        <v>65</v>
      </c>
    </row>
    <row r="24" spans="1:20" x14ac:dyDescent="0.35">
      <c r="A24" s="4">
        <v>43933</v>
      </c>
      <c r="B24" s="5"/>
      <c r="C24" s="5"/>
      <c r="D24" s="5"/>
      <c r="E24" s="5"/>
      <c r="F24" s="6" t="s">
        <v>66</v>
      </c>
      <c r="G24" s="6" t="s">
        <v>67</v>
      </c>
      <c r="H24" s="6" t="s">
        <v>22</v>
      </c>
      <c r="I24" s="6" t="s">
        <v>23</v>
      </c>
      <c r="J24" s="6" t="s">
        <v>24</v>
      </c>
      <c r="K24" s="6" t="s">
        <v>25</v>
      </c>
      <c r="L24" s="6" t="s">
        <v>31</v>
      </c>
      <c r="M24" s="6">
        <v>2</v>
      </c>
      <c r="N24" s="7">
        <v>7480</v>
      </c>
      <c r="O24" s="7"/>
      <c r="P24" s="6" t="s">
        <v>27</v>
      </c>
      <c r="Q24" s="6" t="s">
        <v>52</v>
      </c>
      <c r="R24" s="4">
        <v>43994</v>
      </c>
      <c r="S24" s="6" t="s">
        <v>29</v>
      </c>
      <c r="T24" s="6" t="s">
        <v>65</v>
      </c>
    </row>
    <row r="25" spans="1:20" x14ac:dyDescent="0.35">
      <c r="A25" s="4">
        <v>43933</v>
      </c>
      <c r="B25" s="5"/>
      <c r="C25" s="5"/>
      <c r="D25" s="5"/>
      <c r="E25" s="5"/>
      <c r="F25" s="6" t="s">
        <v>66</v>
      </c>
      <c r="G25" s="6" t="s">
        <v>67</v>
      </c>
      <c r="H25" s="6" t="s">
        <v>39</v>
      </c>
      <c r="I25" s="6" t="s">
        <v>40</v>
      </c>
      <c r="J25" s="6" t="s">
        <v>24</v>
      </c>
      <c r="K25" s="6" t="s">
        <v>41</v>
      </c>
      <c r="L25" s="6" t="s">
        <v>42</v>
      </c>
      <c r="M25" s="6">
        <v>1</v>
      </c>
      <c r="N25" s="7">
        <v>16800</v>
      </c>
      <c r="O25" s="7"/>
      <c r="P25" s="6" t="s">
        <v>27</v>
      </c>
      <c r="Q25" s="6" t="s">
        <v>52</v>
      </c>
      <c r="R25" s="4">
        <v>43994</v>
      </c>
      <c r="S25" s="6" t="s">
        <v>29</v>
      </c>
      <c r="T25" s="6" t="s">
        <v>65</v>
      </c>
    </row>
    <row r="26" spans="1:20" x14ac:dyDescent="0.35">
      <c r="A26" s="4">
        <v>43963</v>
      </c>
      <c r="B26" s="5"/>
      <c r="C26" s="5"/>
      <c r="D26" s="5"/>
      <c r="E26" s="5"/>
      <c r="F26" s="6" t="s">
        <v>71</v>
      </c>
      <c r="G26" s="6" t="s">
        <v>72</v>
      </c>
      <c r="H26" s="6" t="s">
        <v>39</v>
      </c>
      <c r="I26" s="6" t="s">
        <v>40</v>
      </c>
      <c r="J26" s="6" t="s">
        <v>24</v>
      </c>
      <c r="K26" s="6" t="s">
        <v>41</v>
      </c>
      <c r="L26" s="6" t="s">
        <v>42</v>
      </c>
      <c r="M26" s="6">
        <v>1</v>
      </c>
      <c r="N26" s="7">
        <v>16800</v>
      </c>
      <c r="O26" s="7"/>
      <c r="P26" s="6" t="s">
        <v>27</v>
      </c>
      <c r="Q26" s="6" t="s">
        <v>73</v>
      </c>
      <c r="R26" s="4">
        <v>44055</v>
      </c>
      <c r="S26" s="6" t="s">
        <v>29</v>
      </c>
      <c r="T26" s="6" t="s">
        <v>65</v>
      </c>
    </row>
    <row r="27" spans="1:20" x14ac:dyDescent="0.35">
      <c r="A27" s="4">
        <v>43963</v>
      </c>
      <c r="B27" s="5"/>
      <c r="C27" s="5"/>
      <c r="D27" s="5"/>
      <c r="E27" s="5"/>
      <c r="F27" s="6" t="s">
        <v>74</v>
      </c>
      <c r="G27" s="6" t="s">
        <v>72</v>
      </c>
      <c r="H27" s="6" t="s">
        <v>39</v>
      </c>
      <c r="I27" s="6" t="s">
        <v>40</v>
      </c>
      <c r="J27" s="6" t="s">
        <v>24</v>
      </c>
      <c r="K27" s="6" t="s">
        <v>41</v>
      </c>
      <c r="L27" s="6" t="s">
        <v>42</v>
      </c>
      <c r="M27" s="6">
        <v>1</v>
      </c>
      <c r="N27" s="7">
        <v>16800</v>
      </c>
      <c r="O27" s="7"/>
      <c r="P27" s="6" t="s">
        <v>27</v>
      </c>
      <c r="Q27" s="6" t="s">
        <v>73</v>
      </c>
      <c r="R27" s="4">
        <v>44055</v>
      </c>
      <c r="S27" s="6" t="s">
        <v>29</v>
      </c>
      <c r="T27" s="6" t="s">
        <v>65</v>
      </c>
    </row>
    <row r="28" spans="1:20" x14ac:dyDescent="0.35">
      <c r="A28" s="4">
        <v>44024</v>
      </c>
      <c r="B28" s="5"/>
      <c r="C28" s="5"/>
      <c r="D28" s="5"/>
      <c r="E28" s="5"/>
      <c r="F28" s="6" t="s">
        <v>75</v>
      </c>
      <c r="G28" s="6" t="s">
        <v>76</v>
      </c>
      <c r="H28" s="6" t="s">
        <v>22</v>
      </c>
      <c r="I28" s="6" t="s">
        <v>69</v>
      </c>
      <c r="J28" s="6" t="s">
        <v>24</v>
      </c>
      <c r="K28" s="6" t="s">
        <v>25</v>
      </c>
      <c r="L28" s="6" t="s">
        <v>70</v>
      </c>
      <c r="M28" s="6">
        <v>1</v>
      </c>
      <c r="N28" s="7">
        <v>4700</v>
      </c>
      <c r="O28" s="7"/>
      <c r="P28" s="6" t="s">
        <v>27</v>
      </c>
      <c r="Q28" s="6" t="s">
        <v>77</v>
      </c>
      <c r="R28" s="4">
        <v>44055</v>
      </c>
      <c r="S28" s="6" t="s">
        <v>29</v>
      </c>
      <c r="T28" s="6" t="s">
        <v>65</v>
      </c>
    </row>
    <row r="29" spans="1:20" x14ac:dyDescent="0.35">
      <c r="A29" s="4">
        <v>44024</v>
      </c>
      <c r="B29" s="5"/>
      <c r="C29" s="5"/>
      <c r="D29" s="5"/>
      <c r="E29" s="5"/>
      <c r="F29" s="6" t="s">
        <v>78</v>
      </c>
      <c r="G29" s="6" t="s">
        <v>79</v>
      </c>
      <c r="H29" s="6" t="s">
        <v>22</v>
      </c>
      <c r="I29" s="6" t="s">
        <v>69</v>
      </c>
      <c r="J29" s="6" t="s">
        <v>24</v>
      </c>
      <c r="K29" s="6" t="s">
        <v>25</v>
      </c>
      <c r="L29" s="6" t="s">
        <v>80</v>
      </c>
      <c r="M29" s="6">
        <v>1</v>
      </c>
      <c r="N29" s="7">
        <v>4700</v>
      </c>
      <c r="O29" s="7"/>
      <c r="P29" s="6" t="s">
        <v>27</v>
      </c>
      <c r="Q29" s="6" t="s">
        <v>81</v>
      </c>
      <c r="R29" s="4">
        <v>44055</v>
      </c>
      <c r="S29" s="6" t="s">
        <v>29</v>
      </c>
      <c r="T29" s="6" t="s">
        <v>36</v>
      </c>
    </row>
    <row r="30" spans="1:20" x14ac:dyDescent="0.35">
      <c r="A30" s="4">
        <v>44024</v>
      </c>
      <c r="B30" s="5"/>
      <c r="C30" s="5"/>
      <c r="D30" s="5"/>
      <c r="E30" s="5"/>
      <c r="F30" s="6" t="s">
        <v>78</v>
      </c>
      <c r="G30" s="6" t="s">
        <v>79</v>
      </c>
      <c r="H30" s="6" t="s">
        <v>22</v>
      </c>
      <c r="I30" s="6" t="s">
        <v>69</v>
      </c>
      <c r="J30" s="6" t="s">
        <v>24</v>
      </c>
      <c r="K30" s="6" t="s">
        <v>25</v>
      </c>
      <c r="L30" s="6" t="s">
        <v>70</v>
      </c>
      <c r="M30" s="6">
        <v>1</v>
      </c>
      <c r="N30" s="7">
        <v>4700</v>
      </c>
      <c r="O30" s="7"/>
      <c r="P30" s="6" t="s">
        <v>27</v>
      </c>
      <c r="Q30" s="6" t="s">
        <v>81</v>
      </c>
      <c r="R30" s="4">
        <v>44055</v>
      </c>
      <c r="S30" s="6" t="s">
        <v>29</v>
      </c>
      <c r="T30" s="6" t="s">
        <v>36</v>
      </c>
    </row>
    <row r="31" spans="1:20" x14ac:dyDescent="0.35">
      <c r="A31" s="4">
        <v>44086</v>
      </c>
      <c r="B31" s="5"/>
      <c r="C31" s="5"/>
      <c r="D31" s="5"/>
      <c r="E31" s="5"/>
      <c r="F31" s="6" t="s">
        <v>82</v>
      </c>
      <c r="G31" s="6" t="s">
        <v>83</v>
      </c>
      <c r="H31" s="6" t="s">
        <v>39</v>
      </c>
      <c r="I31" s="6" t="s">
        <v>40</v>
      </c>
      <c r="J31" s="6" t="s">
        <v>24</v>
      </c>
      <c r="K31" s="6" t="s">
        <v>41</v>
      </c>
      <c r="L31" s="6" t="s">
        <v>42</v>
      </c>
      <c r="M31" s="6">
        <v>2</v>
      </c>
      <c r="N31" s="7">
        <v>16800</v>
      </c>
      <c r="O31" s="7"/>
      <c r="P31" s="6" t="s">
        <v>27</v>
      </c>
      <c r="Q31" s="6" t="s">
        <v>84</v>
      </c>
      <c r="R31" s="4">
        <v>44116</v>
      </c>
      <c r="S31" s="6" t="s">
        <v>85</v>
      </c>
      <c r="T31" s="6" t="s">
        <v>36</v>
      </c>
    </row>
    <row r="32" spans="1:20" x14ac:dyDescent="0.35">
      <c r="A32" s="4">
        <v>44086</v>
      </c>
      <c r="B32" s="5"/>
      <c r="C32" s="5"/>
      <c r="D32" s="5"/>
      <c r="E32" s="5"/>
      <c r="F32" s="6" t="s">
        <v>86</v>
      </c>
      <c r="G32" s="6" t="s">
        <v>79</v>
      </c>
      <c r="H32" s="6" t="s">
        <v>22</v>
      </c>
      <c r="I32" s="6" t="s">
        <v>69</v>
      </c>
      <c r="J32" s="6" t="s">
        <v>24</v>
      </c>
      <c r="K32" s="6" t="s">
        <v>25</v>
      </c>
      <c r="L32" s="6" t="s">
        <v>80</v>
      </c>
      <c r="M32" s="6">
        <v>1</v>
      </c>
      <c r="N32" s="7">
        <v>4700</v>
      </c>
      <c r="O32" s="7"/>
      <c r="P32" s="6" t="s">
        <v>27</v>
      </c>
      <c r="Q32" s="6" t="s">
        <v>87</v>
      </c>
      <c r="R32" s="4">
        <v>44116</v>
      </c>
      <c r="S32" s="6" t="s">
        <v>29</v>
      </c>
      <c r="T32" s="6" t="s">
        <v>36</v>
      </c>
    </row>
    <row r="33" spans="1:20" x14ac:dyDescent="0.35">
      <c r="A33" s="4">
        <v>44116</v>
      </c>
      <c r="B33" s="5"/>
      <c r="C33" s="5"/>
      <c r="D33" s="5"/>
      <c r="E33" s="5"/>
      <c r="F33" s="6" t="s">
        <v>88</v>
      </c>
      <c r="G33" s="6" t="s">
        <v>89</v>
      </c>
      <c r="H33" s="6" t="s">
        <v>22</v>
      </c>
      <c r="I33" s="6" t="s">
        <v>49</v>
      </c>
      <c r="J33" s="6" t="s">
        <v>24</v>
      </c>
      <c r="K33" s="6" t="s">
        <v>25</v>
      </c>
      <c r="L33" s="6" t="s">
        <v>50</v>
      </c>
      <c r="M33" s="6">
        <v>1</v>
      </c>
      <c r="N33" s="7">
        <v>13100</v>
      </c>
      <c r="O33" s="7"/>
      <c r="P33" s="6" t="s">
        <v>27</v>
      </c>
      <c r="Q33" s="6" t="s">
        <v>90</v>
      </c>
      <c r="R33" s="4">
        <v>44147</v>
      </c>
      <c r="S33" s="6" t="s">
        <v>29</v>
      </c>
      <c r="T33" s="6" t="s">
        <v>36</v>
      </c>
    </row>
    <row r="34" spans="1:20" x14ac:dyDescent="0.35">
      <c r="A34" s="4">
        <v>44116</v>
      </c>
      <c r="B34" s="5"/>
      <c r="C34" s="5"/>
      <c r="D34" s="5"/>
      <c r="E34" s="5"/>
      <c r="F34" s="6" t="s">
        <v>88</v>
      </c>
      <c r="G34" s="6" t="s">
        <v>89</v>
      </c>
      <c r="H34" s="6" t="s">
        <v>22</v>
      </c>
      <c r="I34" s="6" t="s">
        <v>49</v>
      </c>
      <c r="J34" s="6" t="s">
        <v>24</v>
      </c>
      <c r="K34" s="6" t="s">
        <v>25</v>
      </c>
      <c r="L34" s="6" t="s">
        <v>91</v>
      </c>
      <c r="M34" s="6">
        <v>1</v>
      </c>
      <c r="N34" s="7">
        <v>13100</v>
      </c>
      <c r="O34" s="7"/>
      <c r="P34" s="6" t="s">
        <v>27</v>
      </c>
      <c r="Q34" s="6" t="s">
        <v>90</v>
      </c>
      <c r="R34" s="4">
        <v>44147</v>
      </c>
      <c r="S34" s="6" t="s">
        <v>29</v>
      </c>
      <c r="T34" s="6" t="s">
        <v>36</v>
      </c>
    </row>
    <row r="35" spans="1:20" x14ac:dyDescent="0.35">
      <c r="A35" s="4">
        <v>44116</v>
      </c>
      <c r="B35" s="5"/>
      <c r="C35" s="5"/>
      <c r="D35" s="5"/>
      <c r="E35" s="5"/>
      <c r="F35" s="6" t="s">
        <v>88</v>
      </c>
      <c r="G35" s="6" t="s">
        <v>89</v>
      </c>
      <c r="H35" s="6" t="s">
        <v>22</v>
      </c>
      <c r="I35" s="6" t="s">
        <v>23</v>
      </c>
      <c r="J35" s="6" t="s">
        <v>24</v>
      </c>
      <c r="K35" s="6" t="s">
        <v>25</v>
      </c>
      <c r="L35" s="6" t="s">
        <v>32</v>
      </c>
      <c r="M35" s="6">
        <v>1</v>
      </c>
      <c r="N35" s="7">
        <v>7480</v>
      </c>
      <c r="O35" s="7"/>
      <c r="P35" s="6" t="s">
        <v>27</v>
      </c>
      <c r="Q35" s="6" t="s">
        <v>90</v>
      </c>
      <c r="R35" s="4">
        <v>44147</v>
      </c>
      <c r="S35" s="6" t="s">
        <v>29</v>
      </c>
      <c r="T35" s="6" t="s">
        <v>36</v>
      </c>
    </row>
    <row r="36" spans="1:20" x14ac:dyDescent="0.35">
      <c r="A36" s="4">
        <v>44116</v>
      </c>
      <c r="B36" s="5"/>
      <c r="C36" s="5"/>
      <c r="D36" s="5"/>
      <c r="E36" s="5"/>
      <c r="F36" s="6" t="s">
        <v>88</v>
      </c>
      <c r="G36" s="6" t="s">
        <v>89</v>
      </c>
      <c r="H36" s="6" t="s">
        <v>39</v>
      </c>
      <c r="I36" s="6" t="s">
        <v>40</v>
      </c>
      <c r="J36" s="6" t="s">
        <v>24</v>
      </c>
      <c r="K36" s="6" t="s">
        <v>41</v>
      </c>
      <c r="L36" s="6" t="s">
        <v>42</v>
      </c>
      <c r="M36" s="6">
        <v>1</v>
      </c>
      <c r="N36" s="7">
        <v>16800</v>
      </c>
      <c r="O36" s="7"/>
      <c r="P36" s="6" t="s">
        <v>27</v>
      </c>
      <c r="Q36" s="6" t="s">
        <v>90</v>
      </c>
      <c r="R36" s="4">
        <v>44147</v>
      </c>
      <c r="S36" s="6" t="s">
        <v>29</v>
      </c>
      <c r="T36" s="6" t="s">
        <v>36</v>
      </c>
    </row>
    <row r="37" spans="1:20" x14ac:dyDescent="0.35">
      <c r="A37" s="4">
        <v>44116</v>
      </c>
      <c r="B37" s="5"/>
      <c r="C37" s="5"/>
      <c r="D37" s="5"/>
      <c r="E37" s="5"/>
      <c r="F37" s="6" t="s">
        <v>92</v>
      </c>
      <c r="G37" s="6" t="s">
        <v>93</v>
      </c>
      <c r="H37" s="6" t="s">
        <v>39</v>
      </c>
      <c r="I37" s="6" t="s">
        <v>40</v>
      </c>
      <c r="J37" s="6" t="s">
        <v>24</v>
      </c>
      <c r="K37" s="6" t="s">
        <v>41</v>
      </c>
      <c r="L37" s="6" t="s">
        <v>42</v>
      </c>
      <c r="M37" s="6">
        <v>2</v>
      </c>
      <c r="N37" s="7">
        <v>16800</v>
      </c>
      <c r="O37" s="7"/>
      <c r="P37" s="6" t="s">
        <v>27</v>
      </c>
      <c r="Q37" s="6" t="s">
        <v>94</v>
      </c>
      <c r="R37" s="4">
        <v>44147</v>
      </c>
      <c r="S37" s="6" t="s">
        <v>29</v>
      </c>
      <c r="T37" s="6" t="s">
        <v>30</v>
      </c>
    </row>
    <row r="38" spans="1:20" x14ac:dyDescent="0.35">
      <c r="A38" s="4">
        <v>44147</v>
      </c>
      <c r="B38" s="5"/>
      <c r="C38" s="5"/>
      <c r="D38" s="5"/>
      <c r="E38" s="5"/>
      <c r="F38" s="6" t="s">
        <v>95</v>
      </c>
      <c r="G38" s="6" t="s">
        <v>96</v>
      </c>
      <c r="H38" s="6" t="s">
        <v>39</v>
      </c>
      <c r="I38" s="6" t="s">
        <v>40</v>
      </c>
      <c r="J38" s="6" t="s">
        <v>24</v>
      </c>
      <c r="K38" s="6" t="s">
        <v>41</v>
      </c>
      <c r="L38" s="6" t="s">
        <v>42</v>
      </c>
      <c r="M38" s="6">
        <v>1</v>
      </c>
      <c r="N38" s="7">
        <v>16800</v>
      </c>
      <c r="O38" s="7"/>
      <c r="P38" s="6" t="s">
        <v>27</v>
      </c>
      <c r="Q38" s="6" t="s">
        <v>97</v>
      </c>
      <c r="R38" s="4">
        <v>44177</v>
      </c>
      <c r="S38" s="6" t="s">
        <v>85</v>
      </c>
      <c r="T38" s="6" t="s">
        <v>36</v>
      </c>
    </row>
    <row r="39" spans="1:20" x14ac:dyDescent="0.35">
      <c r="A39" s="4">
        <v>44147</v>
      </c>
      <c r="B39" s="5"/>
      <c r="C39" s="5"/>
      <c r="D39" s="5"/>
      <c r="E39" s="5"/>
      <c r="F39" s="6" t="s">
        <v>98</v>
      </c>
      <c r="G39" s="6" t="s">
        <v>99</v>
      </c>
      <c r="H39" s="6" t="s">
        <v>44</v>
      </c>
      <c r="I39" s="6" t="s">
        <v>100</v>
      </c>
      <c r="J39" s="6" t="s">
        <v>24</v>
      </c>
      <c r="K39" s="6" t="s">
        <v>41</v>
      </c>
      <c r="L39" s="6" t="s">
        <v>101</v>
      </c>
      <c r="M39" s="6">
        <v>0.5</v>
      </c>
      <c r="N39" s="7">
        <v>35000</v>
      </c>
      <c r="O39" s="7"/>
      <c r="P39" s="6" t="s">
        <v>27</v>
      </c>
      <c r="Q39" s="6" t="s">
        <v>102</v>
      </c>
      <c r="R39" s="4">
        <v>44177</v>
      </c>
      <c r="S39" s="6" t="s">
        <v>29</v>
      </c>
      <c r="T39" s="6" t="s">
        <v>36</v>
      </c>
    </row>
    <row r="40" spans="1:20" x14ac:dyDescent="0.35">
      <c r="A40" s="4">
        <v>43873</v>
      </c>
      <c r="B40" s="5"/>
      <c r="C40" s="5"/>
      <c r="D40" s="5"/>
      <c r="E40" s="5"/>
      <c r="F40" s="6" t="s">
        <v>103</v>
      </c>
      <c r="G40" s="6" t="s">
        <v>104</v>
      </c>
      <c r="H40" s="6" t="s">
        <v>105</v>
      </c>
      <c r="I40" s="6" t="s">
        <v>106</v>
      </c>
      <c r="J40" s="6" t="s">
        <v>107</v>
      </c>
      <c r="K40" s="6" t="s">
        <v>108</v>
      </c>
      <c r="L40" s="6" t="s">
        <v>109</v>
      </c>
      <c r="M40" s="6">
        <v>1</v>
      </c>
      <c r="N40" s="7">
        <v>5200</v>
      </c>
      <c r="O40" s="7"/>
      <c r="P40" s="6" t="s">
        <v>27</v>
      </c>
      <c r="Q40" s="6" t="s">
        <v>110</v>
      </c>
      <c r="R40" s="4">
        <v>43902</v>
      </c>
      <c r="S40" s="6" t="s">
        <v>85</v>
      </c>
      <c r="T40" s="6" t="s">
        <v>65</v>
      </c>
    </row>
    <row r="41" spans="1:20" x14ac:dyDescent="0.35">
      <c r="A41" s="4">
        <v>43873</v>
      </c>
      <c r="B41" s="5"/>
      <c r="C41" s="5"/>
      <c r="D41" s="5"/>
      <c r="E41" s="5"/>
      <c r="F41" s="6" t="s">
        <v>103</v>
      </c>
      <c r="G41" s="6" t="s">
        <v>104</v>
      </c>
      <c r="H41" s="6" t="s">
        <v>105</v>
      </c>
      <c r="I41" s="6" t="s">
        <v>106</v>
      </c>
      <c r="J41" s="6" t="s">
        <v>107</v>
      </c>
      <c r="K41" s="6" t="s">
        <v>108</v>
      </c>
      <c r="L41" s="6" t="s">
        <v>111</v>
      </c>
      <c r="M41" s="6">
        <v>1</v>
      </c>
      <c r="N41" s="7">
        <v>5200</v>
      </c>
      <c r="O41" s="7"/>
      <c r="P41" s="6" t="s">
        <v>27</v>
      </c>
      <c r="Q41" s="6" t="s">
        <v>110</v>
      </c>
      <c r="R41" s="4">
        <v>43902</v>
      </c>
      <c r="S41" s="6" t="s">
        <v>85</v>
      </c>
      <c r="T41" s="6" t="s">
        <v>65</v>
      </c>
    </row>
    <row r="42" spans="1:20" x14ac:dyDescent="0.35">
      <c r="A42" s="4">
        <v>43873</v>
      </c>
      <c r="B42" s="5"/>
      <c r="C42" s="5"/>
      <c r="D42" s="5"/>
      <c r="E42" s="5"/>
      <c r="F42" s="6" t="s">
        <v>103</v>
      </c>
      <c r="G42" s="6" t="s">
        <v>104</v>
      </c>
      <c r="H42" s="6" t="s">
        <v>105</v>
      </c>
      <c r="I42" s="6" t="s">
        <v>106</v>
      </c>
      <c r="J42" s="6" t="s">
        <v>107</v>
      </c>
      <c r="K42" s="6" t="s">
        <v>108</v>
      </c>
      <c r="L42" s="6" t="s">
        <v>112</v>
      </c>
      <c r="M42" s="6">
        <v>1</v>
      </c>
      <c r="N42" s="7">
        <v>4200</v>
      </c>
      <c r="O42" s="7"/>
      <c r="P42" s="6" t="s">
        <v>27</v>
      </c>
      <c r="Q42" s="6" t="s">
        <v>110</v>
      </c>
      <c r="R42" s="4">
        <v>43902</v>
      </c>
      <c r="S42" s="6" t="s">
        <v>85</v>
      </c>
      <c r="T42" s="6" t="s">
        <v>65</v>
      </c>
    </row>
    <row r="43" spans="1:20" x14ac:dyDescent="0.35">
      <c r="A43" s="4">
        <v>43873</v>
      </c>
      <c r="B43" s="5"/>
      <c r="C43" s="5"/>
      <c r="D43" s="5"/>
      <c r="E43" s="5"/>
      <c r="F43" s="6" t="s">
        <v>47</v>
      </c>
      <c r="G43" s="6" t="s">
        <v>48</v>
      </c>
      <c r="H43" s="6" t="s">
        <v>113</v>
      </c>
      <c r="I43" s="6" t="s">
        <v>114</v>
      </c>
      <c r="J43" s="6" t="s">
        <v>107</v>
      </c>
      <c r="K43" s="6" t="s">
        <v>108</v>
      </c>
      <c r="L43" s="6" t="s">
        <v>115</v>
      </c>
      <c r="M43" s="6">
        <v>1</v>
      </c>
      <c r="N43" s="7">
        <v>5700</v>
      </c>
      <c r="O43" s="7"/>
      <c r="P43" s="6" t="s">
        <v>27</v>
      </c>
      <c r="Q43" s="6" t="s">
        <v>35</v>
      </c>
      <c r="R43" s="4">
        <v>43902</v>
      </c>
      <c r="S43" s="6" t="s">
        <v>29</v>
      </c>
      <c r="T43" s="6" t="s">
        <v>36</v>
      </c>
    </row>
    <row r="44" spans="1:20" x14ac:dyDescent="0.35">
      <c r="A44" s="4">
        <v>43873</v>
      </c>
      <c r="B44" s="5"/>
      <c r="C44" s="5"/>
      <c r="D44" s="5"/>
      <c r="E44" s="5"/>
      <c r="F44" s="6" t="s">
        <v>116</v>
      </c>
      <c r="G44" s="6" t="s">
        <v>117</v>
      </c>
      <c r="H44" s="6" t="s">
        <v>113</v>
      </c>
      <c r="I44" s="6" t="s">
        <v>114</v>
      </c>
      <c r="J44" s="6" t="s">
        <v>107</v>
      </c>
      <c r="K44" s="6" t="s">
        <v>108</v>
      </c>
      <c r="L44" s="6" t="s">
        <v>115</v>
      </c>
      <c r="M44" s="6">
        <v>1</v>
      </c>
      <c r="N44" s="7">
        <v>5700</v>
      </c>
      <c r="O44" s="7"/>
      <c r="P44" s="6" t="s">
        <v>27</v>
      </c>
      <c r="Q44" s="6" t="s">
        <v>118</v>
      </c>
      <c r="R44" s="4">
        <v>43933</v>
      </c>
      <c r="S44" s="6" t="s">
        <v>29</v>
      </c>
      <c r="T44" s="6" t="s">
        <v>30</v>
      </c>
    </row>
    <row r="45" spans="1:20" x14ac:dyDescent="0.35">
      <c r="A45" s="4">
        <v>43873</v>
      </c>
      <c r="B45" s="5"/>
      <c r="C45" s="5"/>
      <c r="D45" s="5"/>
      <c r="E45" s="5"/>
      <c r="F45" s="6" t="s">
        <v>116</v>
      </c>
      <c r="G45" s="6" t="s">
        <v>117</v>
      </c>
      <c r="H45" s="6" t="s">
        <v>105</v>
      </c>
      <c r="I45" s="6" t="s">
        <v>106</v>
      </c>
      <c r="J45" s="6" t="s">
        <v>107</v>
      </c>
      <c r="K45" s="6" t="s">
        <v>108</v>
      </c>
      <c r="L45" s="6" t="s">
        <v>112</v>
      </c>
      <c r="M45" s="6">
        <v>1</v>
      </c>
      <c r="N45" s="7">
        <v>4200</v>
      </c>
      <c r="O45" s="7"/>
      <c r="P45" s="6" t="s">
        <v>27</v>
      </c>
      <c r="Q45" s="6" t="s">
        <v>118</v>
      </c>
      <c r="R45" s="4">
        <v>43933</v>
      </c>
      <c r="S45" s="6" t="s">
        <v>29</v>
      </c>
      <c r="T45" s="6" t="s">
        <v>30</v>
      </c>
    </row>
    <row r="46" spans="1:20" x14ac:dyDescent="0.35">
      <c r="A46" s="4">
        <v>43933</v>
      </c>
      <c r="B46" s="5"/>
      <c r="C46" s="5"/>
      <c r="D46" s="5"/>
      <c r="E46" s="5"/>
      <c r="F46" s="6" t="s">
        <v>119</v>
      </c>
      <c r="G46" s="6" t="s">
        <v>120</v>
      </c>
      <c r="H46" s="6" t="s">
        <v>105</v>
      </c>
      <c r="I46" s="6" t="s">
        <v>106</v>
      </c>
      <c r="J46" s="6" t="s">
        <v>107</v>
      </c>
      <c r="K46" s="6" t="s">
        <v>108</v>
      </c>
      <c r="L46" s="6" t="s">
        <v>112</v>
      </c>
      <c r="M46" s="6">
        <v>1</v>
      </c>
      <c r="N46" s="7">
        <v>4200</v>
      </c>
      <c r="O46" s="7"/>
      <c r="P46" s="6" t="s">
        <v>27</v>
      </c>
      <c r="Q46" s="6" t="s">
        <v>64</v>
      </c>
      <c r="R46" s="4">
        <v>43963</v>
      </c>
      <c r="S46" s="6" t="s">
        <v>29</v>
      </c>
      <c r="T46" s="6" t="s">
        <v>36</v>
      </c>
    </row>
    <row r="47" spans="1:20" x14ac:dyDescent="0.35">
      <c r="A47" s="4">
        <v>43933</v>
      </c>
      <c r="B47" s="5"/>
      <c r="C47" s="5"/>
      <c r="D47" s="5"/>
      <c r="E47" s="5"/>
      <c r="F47" s="6" t="s">
        <v>121</v>
      </c>
      <c r="G47" s="6" t="s">
        <v>122</v>
      </c>
      <c r="H47" s="6" t="s">
        <v>105</v>
      </c>
      <c r="I47" s="6" t="s">
        <v>106</v>
      </c>
      <c r="J47" s="6" t="s">
        <v>107</v>
      </c>
      <c r="K47" s="6" t="s">
        <v>108</v>
      </c>
      <c r="L47" s="6" t="s">
        <v>112</v>
      </c>
      <c r="M47" s="6">
        <v>2</v>
      </c>
      <c r="N47" s="7">
        <v>4200</v>
      </c>
      <c r="O47" s="7"/>
      <c r="P47" s="6" t="s">
        <v>27</v>
      </c>
      <c r="Q47" s="6" t="s">
        <v>123</v>
      </c>
      <c r="R47" s="4">
        <v>43963</v>
      </c>
      <c r="S47" s="6" t="s">
        <v>29</v>
      </c>
      <c r="T47" s="6" t="s">
        <v>30</v>
      </c>
    </row>
    <row r="48" spans="1:20" x14ac:dyDescent="0.35">
      <c r="A48" s="4">
        <v>43933</v>
      </c>
      <c r="B48" s="5"/>
      <c r="C48" s="5"/>
      <c r="D48" s="5"/>
      <c r="E48" s="5"/>
      <c r="F48" s="6" t="s">
        <v>124</v>
      </c>
      <c r="G48" s="6" t="s">
        <v>125</v>
      </c>
      <c r="H48" s="6" t="s">
        <v>105</v>
      </c>
      <c r="I48" s="6" t="s">
        <v>106</v>
      </c>
      <c r="J48" s="6" t="s">
        <v>107</v>
      </c>
      <c r="K48" s="6" t="s">
        <v>108</v>
      </c>
      <c r="L48" s="6" t="s">
        <v>112</v>
      </c>
      <c r="M48" s="6">
        <v>1</v>
      </c>
      <c r="N48" s="7">
        <v>4200</v>
      </c>
      <c r="O48" s="7"/>
      <c r="P48" s="6" t="s">
        <v>27</v>
      </c>
      <c r="Q48" s="6" t="s">
        <v>126</v>
      </c>
      <c r="R48" s="4">
        <v>43963</v>
      </c>
      <c r="S48" s="6" t="s">
        <v>85</v>
      </c>
      <c r="T48" s="6" t="s">
        <v>36</v>
      </c>
    </row>
    <row r="49" spans="1:20" x14ac:dyDescent="0.35">
      <c r="A49" s="4">
        <v>43933</v>
      </c>
      <c r="B49" s="5"/>
      <c r="C49" s="5"/>
      <c r="D49" s="5"/>
      <c r="E49" s="5"/>
      <c r="F49" s="6" t="s">
        <v>66</v>
      </c>
      <c r="G49" s="6" t="s">
        <v>67</v>
      </c>
      <c r="H49" s="6" t="s">
        <v>105</v>
      </c>
      <c r="I49" s="6" t="s">
        <v>106</v>
      </c>
      <c r="J49" s="6" t="s">
        <v>107</v>
      </c>
      <c r="K49" s="6" t="s">
        <v>108</v>
      </c>
      <c r="L49" s="6" t="s">
        <v>127</v>
      </c>
      <c r="M49" s="6">
        <v>1</v>
      </c>
      <c r="N49" s="7">
        <v>5200</v>
      </c>
      <c r="O49" s="7"/>
      <c r="P49" s="6" t="s">
        <v>27</v>
      </c>
      <c r="Q49" s="6" t="s">
        <v>52</v>
      </c>
      <c r="R49" s="4">
        <v>43994</v>
      </c>
      <c r="S49" s="6" t="s">
        <v>29</v>
      </c>
      <c r="T49" s="6" t="s">
        <v>36</v>
      </c>
    </row>
    <row r="50" spans="1:20" x14ac:dyDescent="0.35">
      <c r="A50" s="4">
        <v>43933</v>
      </c>
      <c r="B50" s="5"/>
      <c r="C50" s="5"/>
      <c r="D50" s="5"/>
      <c r="E50" s="5"/>
      <c r="F50" s="6" t="s">
        <v>66</v>
      </c>
      <c r="G50" s="6" t="s">
        <v>67</v>
      </c>
      <c r="H50" s="6" t="s">
        <v>105</v>
      </c>
      <c r="I50" s="6" t="s">
        <v>106</v>
      </c>
      <c r="J50" s="6" t="s">
        <v>107</v>
      </c>
      <c r="K50" s="6" t="s">
        <v>108</v>
      </c>
      <c r="L50" s="6" t="s">
        <v>109</v>
      </c>
      <c r="M50" s="6">
        <v>2</v>
      </c>
      <c r="N50" s="7">
        <v>5200</v>
      </c>
      <c r="O50" s="7"/>
      <c r="P50" s="6" t="s">
        <v>27</v>
      </c>
      <c r="Q50" s="6" t="s">
        <v>52</v>
      </c>
      <c r="R50" s="4">
        <v>43994</v>
      </c>
      <c r="S50" s="6" t="s">
        <v>29</v>
      </c>
      <c r="T50" s="6" t="s">
        <v>36</v>
      </c>
    </row>
    <row r="51" spans="1:20" x14ac:dyDescent="0.35">
      <c r="A51" s="4">
        <v>43933</v>
      </c>
      <c r="B51" s="5"/>
      <c r="C51" s="5"/>
      <c r="D51" s="5"/>
      <c r="E51" s="5"/>
      <c r="F51" s="6" t="s">
        <v>66</v>
      </c>
      <c r="G51" s="6" t="s">
        <v>67</v>
      </c>
      <c r="H51" s="6" t="s">
        <v>128</v>
      </c>
      <c r="I51" s="6" t="s">
        <v>129</v>
      </c>
      <c r="J51" s="6" t="s">
        <v>107</v>
      </c>
      <c r="K51" s="6" t="s">
        <v>130</v>
      </c>
      <c r="L51" s="6" t="s">
        <v>131</v>
      </c>
      <c r="M51" s="6">
        <v>2</v>
      </c>
      <c r="N51" s="7">
        <v>12300</v>
      </c>
      <c r="O51" s="7"/>
      <c r="P51" s="6" t="s">
        <v>27</v>
      </c>
      <c r="Q51" s="6" t="s">
        <v>52</v>
      </c>
      <c r="R51" s="4">
        <v>43994</v>
      </c>
      <c r="S51" s="6" t="s">
        <v>29</v>
      </c>
      <c r="T51" s="6" t="s">
        <v>36</v>
      </c>
    </row>
    <row r="52" spans="1:20" x14ac:dyDescent="0.35">
      <c r="A52" s="4">
        <v>43994</v>
      </c>
      <c r="B52" s="5"/>
      <c r="C52" s="5"/>
      <c r="D52" s="5"/>
      <c r="E52" s="5"/>
      <c r="F52" s="6" t="s">
        <v>132</v>
      </c>
      <c r="G52" s="6" t="s">
        <v>133</v>
      </c>
      <c r="H52" s="6" t="s">
        <v>105</v>
      </c>
      <c r="I52" s="6" t="s">
        <v>106</v>
      </c>
      <c r="J52" s="6" t="s">
        <v>107</v>
      </c>
      <c r="K52" s="6" t="s">
        <v>108</v>
      </c>
      <c r="L52" s="6" t="s">
        <v>127</v>
      </c>
      <c r="M52" s="6">
        <v>1</v>
      </c>
      <c r="N52" s="7">
        <v>5200</v>
      </c>
      <c r="O52" s="7"/>
      <c r="P52" s="6" t="s">
        <v>27</v>
      </c>
      <c r="Q52" s="6" t="s">
        <v>35</v>
      </c>
      <c r="R52" s="4">
        <v>44024</v>
      </c>
      <c r="S52" s="6" t="s">
        <v>85</v>
      </c>
      <c r="T52" s="6" t="s">
        <v>30</v>
      </c>
    </row>
    <row r="53" spans="1:20" x14ac:dyDescent="0.35">
      <c r="A53" s="4">
        <v>44024</v>
      </c>
      <c r="B53" s="5"/>
      <c r="C53" s="5"/>
      <c r="D53" s="5"/>
      <c r="E53" s="5"/>
      <c r="F53" s="6" t="s">
        <v>134</v>
      </c>
      <c r="G53" s="6" t="s">
        <v>135</v>
      </c>
      <c r="H53" s="6" t="s">
        <v>105</v>
      </c>
      <c r="I53" s="6" t="s">
        <v>106</v>
      </c>
      <c r="J53" s="6" t="s">
        <v>107</v>
      </c>
      <c r="K53" s="6" t="s">
        <v>108</v>
      </c>
      <c r="L53" s="6" t="s">
        <v>112</v>
      </c>
      <c r="M53" s="6">
        <v>1</v>
      </c>
      <c r="N53" s="7">
        <v>4200</v>
      </c>
      <c r="O53" s="7"/>
      <c r="P53" s="6" t="s">
        <v>27</v>
      </c>
      <c r="Q53" s="6" t="s">
        <v>136</v>
      </c>
      <c r="R53" s="4">
        <v>44055</v>
      </c>
      <c r="S53" s="6" t="s">
        <v>29</v>
      </c>
      <c r="T53" s="6" t="s">
        <v>36</v>
      </c>
    </row>
    <row r="54" spans="1:20" x14ac:dyDescent="0.35">
      <c r="A54" s="4">
        <v>43933</v>
      </c>
      <c r="B54" s="5"/>
      <c r="C54" s="5"/>
      <c r="D54" s="5"/>
      <c r="E54" s="5"/>
      <c r="F54" s="6" t="s">
        <v>137</v>
      </c>
      <c r="G54" s="6" t="s">
        <v>138</v>
      </c>
      <c r="H54" s="6" t="s">
        <v>105</v>
      </c>
      <c r="I54" s="6" t="s">
        <v>106</v>
      </c>
      <c r="J54" s="6" t="s">
        <v>107</v>
      </c>
      <c r="K54" s="6" t="s">
        <v>108</v>
      </c>
      <c r="L54" s="6" t="s">
        <v>112</v>
      </c>
      <c r="M54" s="6">
        <v>1</v>
      </c>
      <c r="N54" s="7">
        <v>4200</v>
      </c>
      <c r="O54" s="7"/>
      <c r="P54" s="6" t="s">
        <v>27</v>
      </c>
      <c r="Q54" s="6" t="s">
        <v>139</v>
      </c>
      <c r="R54" s="4">
        <v>44055</v>
      </c>
      <c r="S54" s="6" t="s">
        <v>29</v>
      </c>
      <c r="T54" s="6" t="s">
        <v>36</v>
      </c>
    </row>
    <row r="55" spans="1:20" x14ac:dyDescent="0.35">
      <c r="A55" s="4">
        <v>43933</v>
      </c>
      <c r="B55" s="5"/>
      <c r="C55" s="5"/>
      <c r="D55" s="5"/>
      <c r="E55" s="5"/>
      <c r="F55" s="6" t="s">
        <v>137</v>
      </c>
      <c r="G55" s="6" t="s">
        <v>138</v>
      </c>
      <c r="H55" s="6" t="s">
        <v>105</v>
      </c>
      <c r="I55" s="6" t="s">
        <v>106</v>
      </c>
      <c r="J55" s="6" t="s">
        <v>107</v>
      </c>
      <c r="K55" s="6" t="s">
        <v>108</v>
      </c>
      <c r="L55" s="6" t="s">
        <v>140</v>
      </c>
      <c r="M55" s="6">
        <v>1</v>
      </c>
      <c r="N55" s="7">
        <v>6850</v>
      </c>
      <c r="O55" s="7"/>
      <c r="P55" s="6" t="s">
        <v>27</v>
      </c>
      <c r="Q55" s="6" t="s">
        <v>139</v>
      </c>
      <c r="R55" s="4">
        <v>44055</v>
      </c>
      <c r="S55" s="6" t="s">
        <v>29</v>
      </c>
      <c r="T55" s="6" t="s">
        <v>36</v>
      </c>
    </row>
    <row r="56" spans="1:20" x14ac:dyDescent="0.35">
      <c r="A56" s="4">
        <v>44055</v>
      </c>
      <c r="B56" s="5"/>
      <c r="C56" s="5"/>
      <c r="D56" s="5"/>
      <c r="E56" s="5"/>
      <c r="F56" s="6" t="s">
        <v>141</v>
      </c>
      <c r="G56" s="6" t="s">
        <v>142</v>
      </c>
      <c r="H56" s="6" t="s">
        <v>105</v>
      </c>
      <c r="I56" s="6" t="s">
        <v>106</v>
      </c>
      <c r="J56" s="6" t="s">
        <v>107</v>
      </c>
      <c r="K56" s="6" t="s">
        <v>108</v>
      </c>
      <c r="L56" s="6" t="s">
        <v>112</v>
      </c>
      <c r="M56" s="6">
        <v>3</v>
      </c>
      <c r="N56" s="7">
        <v>4200</v>
      </c>
      <c r="O56" s="7"/>
      <c r="P56" s="6" t="s">
        <v>27</v>
      </c>
      <c r="Q56" s="6" t="s">
        <v>77</v>
      </c>
      <c r="R56" s="4">
        <v>44086</v>
      </c>
      <c r="S56" s="6" t="s">
        <v>85</v>
      </c>
      <c r="T56" s="6" t="s">
        <v>30</v>
      </c>
    </row>
    <row r="57" spans="1:20" x14ac:dyDescent="0.35">
      <c r="A57" s="4">
        <v>44177</v>
      </c>
      <c r="B57" s="5"/>
      <c r="C57" s="5"/>
      <c r="D57" s="5"/>
      <c r="E57" s="5"/>
      <c r="F57" s="6" t="s">
        <v>143</v>
      </c>
      <c r="G57" s="6" t="s">
        <v>144</v>
      </c>
      <c r="H57" s="6" t="s">
        <v>105</v>
      </c>
      <c r="I57" s="6" t="s">
        <v>106</v>
      </c>
      <c r="J57" s="6" t="s">
        <v>107</v>
      </c>
      <c r="K57" s="6" t="s">
        <v>108</v>
      </c>
      <c r="L57" s="6" t="s">
        <v>112</v>
      </c>
      <c r="M57" s="6">
        <v>2</v>
      </c>
      <c r="N57" s="7">
        <v>4200</v>
      </c>
      <c r="O57" s="7"/>
      <c r="P57" s="6" t="s">
        <v>27</v>
      </c>
      <c r="Q57" s="6" t="s">
        <v>145</v>
      </c>
      <c r="R57" s="4" t="s">
        <v>146</v>
      </c>
      <c r="S57" s="6" t="s">
        <v>85</v>
      </c>
      <c r="T57" s="6" t="s">
        <v>36</v>
      </c>
    </row>
    <row r="58" spans="1:20" x14ac:dyDescent="0.35">
      <c r="A58" s="4">
        <v>43842</v>
      </c>
      <c r="B58" s="5"/>
      <c r="C58" s="5"/>
      <c r="D58" s="5"/>
      <c r="E58" s="5"/>
      <c r="F58" s="6" t="s">
        <v>147</v>
      </c>
      <c r="G58" s="6" t="s">
        <v>148</v>
      </c>
      <c r="H58" s="6" t="s">
        <v>44</v>
      </c>
      <c r="I58" s="6" t="s">
        <v>149</v>
      </c>
      <c r="J58" s="6" t="s">
        <v>150</v>
      </c>
      <c r="K58" s="6" t="s">
        <v>151</v>
      </c>
      <c r="L58" s="6" t="s">
        <v>152</v>
      </c>
      <c r="M58" s="6">
        <v>1</v>
      </c>
      <c r="N58" s="7">
        <v>11200</v>
      </c>
      <c r="O58" s="7"/>
      <c r="P58" s="6" t="s">
        <v>27</v>
      </c>
      <c r="Q58" s="6" t="s">
        <v>153</v>
      </c>
      <c r="R58" s="4">
        <v>43873</v>
      </c>
      <c r="S58" s="6" t="s">
        <v>29</v>
      </c>
      <c r="T58" s="6" t="s">
        <v>36</v>
      </c>
    </row>
    <row r="59" spans="1:20" x14ac:dyDescent="0.35">
      <c r="A59" s="4">
        <v>43842</v>
      </c>
      <c r="B59" s="5"/>
      <c r="C59" s="5"/>
      <c r="D59" s="5"/>
      <c r="E59" s="5"/>
      <c r="F59" s="6" t="s">
        <v>154</v>
      </c>
      <c r="G59" s="6" t="s">
        <v>21</v>
      </c>
      <c r="H59" s="6" t="s">
        <v>44</v>
      </c>
      <c r="I59" s="6" t="s">
        <v>149</v>
      </c>
      <c r="J59" s="6" t="s">
        <v>150</v>
      </c>
      <c r="K59" s="6" t="s">
        <v>151</v>
      </c>
      <c r="L59" s="6" t="s">
        <v>155</v>
      </c>
      <c r="M59" s="6">
        <v>15</v>
      </c>
      <c r="N59" s="7">
        <v>9120</v>
      </c>
      <c r="O59" s="7"/>
      <c r="P59" s="6" t="s">
        <v>27</v>
      </c>
      <c r="Q59" s="6" t="s">
        <v>28</v>
      </c>
      <c r="R59" s="4">
        <v>43873</v>
      </c>
      <c r="S59" s="6" t="s">
        <v>29</v>
      </c>
      <c r="T59" s="6" t="s">
        <v>30</v>
      </c>
    </row>
    <row r="60" spans="1:20" x14ac:dyDescent="0.35">
      <c r="A60" s="4">
        <v>43842</v>
      </c>
      <c r="B60" s="5"/>
      <c r="C60" s="5"/>
      <c r="D60" s="5"/>
      <c r="E60" s="5"/>
      <c r="F60" s="6" t="s">
        <v>20</v>
      </c>
      <c r="G60" s="6" t="s">
        <v>21</v>
      </c>
      <c r="H60" s="6" t="s">
        <v>44</v>
      </c>
      <c r="I60" s="6" t="s">
        <v>156</v>
      </c>
      <c r="J60" s="6" t="s">
        <v>150</v>
      </c>
      <c r="K60" s="6" t="s">
        <v>157</v>
      </c>
      <c r="L60" s="6" t="s">
        <v>158</v>
      </c>
      <c r="M60" s="6">
        <v>3</v>
      </c>
      <c r="N60" s="7">
        <v>7450</v>
      </c>
      <c r="O60" s="7"/>
      <c r="P60" s="6" t="s">
        <v>27</v>
      </c>
      <c r="Q60" s="6" t="s">
        <v>28</v>
      </c>
      <c r="R60" s="4">
        <v>43873</v>
      </c>
      <c r="S60" s="6" t="s">
        <v>29</v>
      </c>
      <c r="T60" s="6" t="s">
        <v>30</v>
      </c>
    </row>
    <row r="61" spans="1:20" x14ac:dyDescent="0.35">
      <c r="A61" s="4">
        <v>43842</v>
      </c>
      <c r="B61" s="5"/>
      <c r="C61" s="5"/>
      <c r="D61" s="5"/>
      <c r="E61" s="5"/>
      <c r="F61" s="6" t="s">
        <v>20</v>
      </c>
      <c r="G61" s="6" t="s">
        <v>21</v>
      </c>
      <c r="H61" s="6" t="s">
        <v>44</v>
      </c>
      <c r="I61" s="6" t="s">
        <v>149</v>
      </c>
      <c r="J61" s="6" t="s">
        <v>150</v>
      </c>
      <c r="K61" s="6" t="s">
        <v>151</v>
      </c>
      <c r="L61" s="6" t="s">
        <v>152</v>
      </c>
      <c r="M61" s="6">
        <v>2</v>
      </c>
      <c r="N61" s="7">
        <v>11200</v>
      </c>
      <c r="O61" s="7"/>
      <c r="P61" s="6" t="s">
        <v>27</v>
      </c>
      <c r="Q61" s="6" t="s">
        <v>28</v>
      </c>
      <c r="R61" s="4">
        <v>43873</v>
      </c>
      <c r="S61" s="6" t="s">
        <v>29</v>
      </c>
      <c r="T61" s="6" t="s">
        <v>30</v>
      </c>
    </row>
    <row r="62" spans="1:20" x14ac:dyDescent="0.35">
      <c r="A62" s="4">
        <v>43842</v>
      </c>
      <c r="B62" s="5"/>
      <c r="C62" s="5"/>
      <c r="D62" s="5"/>
      <c r="E62" s="5"/>
      <c r="F62" s="6" t="s">
        <v>159</v>
      </c>
      <c r="G62" s="6" t="s">
        <v>160</v>
      </c>
      <c r="H62" s="6" t="s">
        <v>44</v>
      </c>
      <c r="I62" s="6" t="s">
        <v>149</v>
      </c>
      <c r="J62" s="6" t="s">
        <v>150</v>
      </c>
      <c r="K62" s="6" t="s">
        <v>151</v>
      </c>
      <c r="L62" s="6" t="s">
        <v>155</v>
      </c>
      <c r="M62" s="6">
        <v>5</v>
      </c>
      <c r="N62" s="7">
        <v>9120</v>
      </c>
      <c r="O62" s="7"/>
      <c r="P62" s="6" t="s">
        <v>27</v>
      </c>
      <c r="Q62" s="6" t="s">
        <v>161</v>
      </c>
      <c r="R62" s="4">
        <v>43873</v>
      </c>
      <c r="S62" s="6" t="s">
        <v>29</v>
      </c>
      <c r="T62" s="6" t="s">
        <v>30</v>
      </c>
    </row>
    <row r="63" spans="1:20" x14ac:dyDescent="0.35">
      <c r="A63" s="4">
        <v>43842</v>
      </c>
      <c r="B63" s="5"/>
      <c r="C63" s="5"/>
      <c r="D63" s="5"/>
      <c r="E63" s="5"/>
      <c r="F63" s="6" t="s">
        <v>162</v>
      </c>
      <c r="G63" s="6" t="s">
        <v>163</v>
      </c>
      <c r="H63" s="6" t="s">
        <v>164</v>
      </c>
      <c r="I63" s="6" t="s">
        <v>165</v>
      </c>
      <c r="J63" s="6" t="s">
        <v>150</v>
      </c>
      <c r="K63" s="6" t="s">
        <v>166</v>
      </c>
      <c r="L63" s="6" t="s">
        <v>167</v>
      </c>
      <c r="M63" s="6">
        <v>1</v>
      </c>
      <c r="N63" s="7">
        <v>7800</v>
      </c>
      <c r="O63" s="7"/>
      <c r="P63" s="6" t="s">
        <v>27</v>
      </c>
      <c r="Q63" s="6" t="s">
        <v>35</v>
      </c>
      <c r="R63" s="4">
        <v>43873</v>
      </c>
      <c r="S63" s="6" t="s">
        <v>29</v>
      </c>
      <c r="T63" s="6" t="s">
        <v>36</v>
      </c>
    </row>
    <row r="64" spans="1:20" x14ac:dyDescent="0.35">
      <c r="A64" s="4">
        <v>43842</v>
      </c>
      <c r="B64" s="5"/>
      <c r="C64" s="5"/>
      <c r="D64" s="5"/>
      <c r="E64" s="5"/>
      <c r="F64" s="6" t="s">
        <v>162</v>
      </c>
      <c r="G64" s="6" t="s">
        <v>163</v>
      </c>
      <c r="H64" s="6" t="s">
        <v>44</v>
      </c>
      <c r="I64" s="6" t="s">
        <v>149</v>
      </c>
      <c r="J64" s="6" t="s">
        <v>150</v>
      </c>
      <c r="K64" s="6" t="s">
        <v>151</v>
      </c>
      <c r="L64" s="6" t="s">
        <v>155</v>
      </c>
      <c r="M64" s="6">
        <v>1</v>
      </c>
      <c r="N64" s="7">
        <v>9120</v>
      </c>
      <c r="O64" s="7"/>
      <c r="P64" s="6" t="s">
        <v>27</v>
      </c>
      <c r="Q64" s="6" t="s">
        <v>35</v>
      </c>
      <c r="R64" s="4">
        <v>43873</v>
      </c>
      <c r="S64" s="6" t="s">
        <v>29</v>
      </c>
      <c r="T64" s="6" t="s">
        <v>36</v>
      </c>
    </row>
    <row r="65" spans="1:20" x14ac:dyDescent="0.35">
      <c r="A65" s="4">
        <v>43842</v>
      </c>
      <c r="B65" s="5"/>
      <c r="C65" s="5"/>
      <c r="D65" s="5"/>
      <c r="E65" s="5"/>
      <c r="F65" s="6" t="s">
        <v>162</v>
      </c>
      <c r="G65" s="6" t="s">
        <v>163</v>
      </c>
      <c r="H65" s="6" t="s">
        <v>168</v>
      </c>
      <c r="I65" s="6" t="s">
        <v>169</v>
      </c>
      <c r="J65" s="6" t="s">
        <v>150</v>
      </c>
      <c r="K65" s="6" t="s">
        <v>170</v>
      </c>
      <c r="L65" s="6" t="s">
        <v>171</v>
      </c>
      <c r="M65" s="6">
        <v>1</v>
      </c>
      <c r="N65" s="7">
        <v>3000</v>
      </c>
      <c r="O65" s="7"/>
      <c r="P65" s="6" t="s">
        <v>27</v>
      </c>
      <c r="Q65" s="6" t="s">
        <v>35</v>
      </c>
      <c r="R65" s="4">
        <v>43873</v>
      </c>
      <c r="S65" s="6" t="s">
        <v>29</v>
      </c>
      <c r="T65" s="6" t="s">
        <v>36</v>
      </c>
    </row>
    <row r="66" spans="1:20" x14ac:dyDescent="0.35">
      <c r="A66" s="4">
        <v>43842</v>
      </c>
      <c r="B66" s="5"/>
      <c r="C66" s="5"/>
      <c r="D66" s="5"/>
      <c r="E66" s="5"/>
      <c r="F66" s="6" t="s">
        <v>162</v>
      </c>
      <c r="G66" s="6" t="s">
        <v>163</v>
      </c>
      <c r="H66" s="6" t="s">
        <v>39</v>
      </c>
      <c r="I66" s="6" t="s">
        <v>172</v>
      </c>
      <c r="J66" s="6" t="s">
        <v>150</v>
      </c>
      <c r="K66" s="6" t="s">
        <v>166</v>
      </c>
      <c r="L66" s="6" t="s">
        <v>173</v>
      </c>
      <c r="M66" s="6">
        <v>1</v>
      </c>
      <c r="N66" s="7">
        <v>1860</v>
      </c>
      <c r="O66" s="7"/>
      <c r="P66" s="6" t="s">
        <v>27</v>
      </c>
      <c r="Q66" s="6" t="s">
        <v>35</v>
      </c>
      <c r="R66" s="4">
        <v>43873</v>
      </c>
      <c r="S66" s="6" t="s">
        <v>29</v>
      </c>
      <c r="T66" s="6" t="s">
        <v>36</v>
      </c>
    </row>
    <row r="67" spans="1:20" x14ac:dyDescent="0.35">
      <c r="A67" s="4">
        <v>43842</v>
      </c>
      <c r="B67" s="5"/>
      <c r="C67" s="5"/>
      <c r="D67" s="5"/>
      <c r="E67" s="5"/>
      <c r="F67" s="6" t="s">
        <v>174</v>
      </c>
      <c r="G67" s="6" t="s">
        <v>175</v>
      </c>
      <c r="H67" s="6" t="s">
        <v>176</v>
      </c>
      <c r="I67" s="6" t="s">
        <v>177</v>
      </c>
      <c r="J67" s="6" t="s">
        <v>150</v>
      </c>
      <c r="K67" s="6" t="s">
        <v>157</v>
      </c>
      <c r="L67" s="6" t="s">
        <v>178</v>
      </c>
      <c r="M67" s="6">
        <v>1</v>
      </c>
      <c r="N67" s="7">
        <v>2000</v>
      </c>
      <c r="O67" s="7"/>
      <c r="P67" s="6" t="s">
        <v>27</v>
      </c>
      <c r="Q67" s="6" t="s">
        <v>179</v>
      </c>
      <c r="R67" s="4">
        <v>43873</v>
      </c>
      <c r="S67" s="6" t="s">
        <v>29</v>
      </c>
      <c r="T67" s="6" t="s">
        <v>36</v>
      </c>
    </row>
    <row r="68" spans="1:20" x14ac:dyDescent="0.35">
      <c r="A68" s="4">
        <v>43842</v>
      </c>
      <c r="B68" s="5"/>
      <c r="C68" s="5"/>
      <c r="D68" s="5"/>
      <c r="E68" s="5"/>
      <c r="F68" s="6" t="s">
        <v>174</v>
      </c>
      <c r="G68" s="6" t="s">
        <v>175</v>
      </c>
      <c r="H68" s="6" t="s">
        <v>44</v>
      </c>
      <c r="I68" s="6" t="s">
        <v>149</v>
      </c>
      <c r="J68" s="6" t="s">
        <v>150</v>
      </c>
      <c r="K68" s="6" t="s">
        <v>151</v>
      </c>
      <c r="L68" s="6" t="s">
        <v>155</v>
      </c>
      <c r="M68" s="6">
        <v>1</v>
      </c>
      <c r="N68" s="7">
        <v>9120</v>
      </c>
      <c r="O68" s="7"/>
      <c r="P68" s="6" t="s">
        <v>27</v>
      </c>
      <c r="Q68" s="6" t="s">
        <v>179</v>
      </c>
      <c r="R68" s="4">
        <v>43873</v>
      </c>
      <c r="S68" s="6" t="s">
        <v>29</v>
      </c>
      <c r="T68" s="6" t="s">
        <v>36</v>
      </c>
    </row>
    <row r="69" spans="1:20" x14ac:dyDescent="0.35">
      <c r="A69" s="4">
        <v>43842</v>
      </c>
      <c r="B69" s="5"/>
      <c r="C69" s="5"/>
      <c r="D69" s="5"/>
      <c r="E69" s="5"/>
      <c r="F69" s="6" t="s">
        <v>180</v>
      </c>
      <c r="G69" s="6" t="s">
        <v>181</v>
      </c>
      <c r="H69" s="6" t="s">
        <v>44</v>
      </c>
      <c r="I69" s="6" t="s">
        <v>149</v>
      </c>
      <c r="J69" s="6" t="s">
        <v>150</v>
      </c>
      <c r="K69" s="6" t="s">
        <v>151</v>
      </c>
      <c r="L69" s="6" t="s">
        <v>155</v>
      </c>
      <c r="M69" s="6">
        <v>2</v>
      </c>
      <c r="N69" s="7">
        <v>9120</v>
      </c>
      <c r="O69" s="7"/>
      <c r="P69" s="6" t="s">
        <v>27</v>
      </c>
      <c r="Q69" s="6" t="s">
        <v>182</v>
      </c>
      <c r="R69" s="4">
        <v>43873</v>
      </c>
      <c r="S69" s="6" t="s">
        <v>29</v>
      </c>
      <c r="T69" s="6" t="s">
        <v>36</v>
      </c>
    </row>
    <row r="70" spans="1:20" x14ac:dyDescent="0.35">
      <c r="A70" s="4">
        <v>43842</v>
      </c>
      <c r="B70" s="5"/>
      <c r="C70" s="5"/>
      <c r="D70" s="5"/>
      <c r="E70" s="5"/>
      <c r="F70" s="6" t="s">
        <v>183</v>
      </c>
      <c r="G70" s="6" t="s">
        <v>184</v>
      </c>
      <c r="H70" s="6" t="s">
        <v>168</v>
      </c>
      <c r="I70" s="6" t="s">
        <v>169</v>
      </c>
      <c r="J70" s="6" t="s">
        <v>150</v>
      </c>
      <c r="K70" s="6" t="s">
        <v>170</v>
      </c>
      <c r="L70" s="6" t="s">
        <v>185</v>
      </c>
      <c r="M70" s="6">
        <v>1</v>
      </c>
      <c r="N70" s="7">
        <v>3000</v>
      </c>
      <c r="O70" s="7"/>
      <c r="P70" s="6" t="s">
        <v>27</v>
      </c>
      <c r="Q70" s="6" t="s">
        <v>186</v>
      </c>
      <c r="R70" s="4">
        <v>43873</v>
      </c>
      <c r="S70" s="6" t="s">
        <v>29</v>
      </c>
      <c r="T70" s="6" t="s">
        <v>36</v>
      </c>
    </row>
    <row r="71" spans="1:20" x14ac:dyDescent="0.35">
      <c r="A71" s="4">
        <v>43842</v>
      </c>
      <c r="B71" s="5"/>
      <c r="C71" s="5"/>
      <c r="D71" s="5"/>
      <c r="E71" s="5"/>
      <c r="F71" s="6" t="s">
        <v>183</v>
      </c>
      <c r="G71" s="6" t="s">
        <v>184</v>
      </c>
      <c r="H71" s="6" t="s">
        <v>39</v>
      </c>
      <c r="I71" s="6" t="s">
        <v>172</v>
      </c>
      <c r="J71" s="6" t="s">
        <v>150</v>
      </c>
      <c r="K71" s="6" t="s">
        <v>166</v>
      </c>
      <c r="L71" s="6" t="s">
        <v>187</v>
      </c>
      <c r="M71" s="6">
        <v>1</v>
      </c>
      <c r="N71" s="7">
        <v>4400</v>
      </c>
      <c r="O71" s="7"/>
      <c r="P71" s="6" t="s">
        <v>27</v>
      </c>
      <c r="Q71" s="6" t="s">
        <v>186</v>
      </c>
      <c r="R71" s="4">
        <v>43873</v>
      </c>
      <c r="S71" s="6" t="s">
        <v>29</v>
      </c>
      <c r="T71" s="6" t="s">
        <v>36</v>
      </c>
    </row>
    <row r="72" spans="1:20" x14ac:dyDescent="0.35">
      <c r="A72" s="4">
        <v>43842</v>
      </c>
      <c r="B72" s="5"/>
      <c r="C72" s="5"/>
      <c r="D72" s="5"/>
      <c r="E72" s="5"/>
      <c r="F72" s="6" t="s">
        <v>37</v>
      </c>
      <c r="G72" s="6" t="s">
        <v>38</v>
      </c>
      <c r="H72" s="6" t="s">
        <v>44</v>
      </c>
      <c r="I72" s="6" t="s">
        <v>149</v>
      </c>
      <c r="J72" s="6" t="s">
        <v>150</v>
      </c>
      <c r="K72" s="6" t="s">
        <v>151</v>
      </c>
      <c r="L72" s="6" t="s">
        <v>188</v>
      </c>
      <c r="M72" s="6">
        <v>1</v>
      </c>
      <c r="N72" s="7">
        <v>9350</v>
      </c>
      <c r="O72" s="7"/>
      <c r="P72" s="6" t="s">
        <v>27</v>
      </c>
      <c r="Q72" s="6" t="s">
        <v>43</v>
      </c>
      <c r="R72" s="4">
        <v>43873</v>
      </c>
      <c r="S72" s="6" t="s">
        <v>29</v>
      </c>
      <c r="T72" s="6" t="s">
        <v>30</v>
      </c>
    </row>
    <row r="73" spans="1:20" x14ac:dyDescent="0.35">
      <c r="A73" s="4">
        <v>43842</v>
      </c>
      <c r="B73" s="5"/>
      <c r="C73" s="5"/>
      <c r="D73" s="5"/>
      <c r="E73" s="5"/>
      <c r="F73" s="6" t="s">
        <v>189</v>
      </c>
      <c r="G73" s="6" t="s">
        <v>55</v>
      </c>
      <c r="H73" s="6" t="s">
        <v>44</v>
      </c>
      <c r="I73" s="6" t="s">
        <v>149</v>
      </c>
      <c r="J73" s="6" t="s">
        <v>150</v>
      </c>
      <c r="K73" s="6" t="s">
        <v>151</v>
      </c>
      <c r="L73" s="6" t="s">
        <v>190</v>
      </c>
      <c r="M73" s="6">
        <v>5</v>
      </c>
      <c r="N73" s="7">
        <v>10050</v>
      </c>
      <c r="O73" s="7"/>
      <c r="P73" s="6" t="s">
        <v>27</v>
      </c>
      <c r="Q73" s="6" t="s">
        <v>43</v>
      </c>
      <c r="R73" s="4">
        <v>43873</v>
      </c>
      <c r="S73" s="6" t="s">
        <v>56</v>
      </c>
      <c r="T73" s="6" t="s">
        <v>30</v>
      </c>
    </row>
    <row r="74" spans="1:20" x14ac:dyDescent="0.35">
      <c r="A74" s="4">
        <v>43842</v>
      </c>
      <c r="B74" s="5"/>
      <c r="C74" s="5"/>
      <c r="D74" s="5"/>
      <c r="E74" s="5"/>
      <c r="F74" s="6" t="s">
        <v>189</v>
      </c>
      <c r="G74" s="6" t="s">
        <v>55</v>
      </c>
      <c r="H74" s="6" t="s">
        <v>44</v>
      </c>
      <c r="I74" s="6" t="s">
        <v>156</v>
      </c>
      <c r="J74" s="6" t="s">
        <v>150</v>
      </c>
      <c r="K74" s="6" t="s">
        <v>157</v>
      </c>
      <c r="L74" s="6" t="s">
        <v>158</v>
      </c>
      <c r="M74" s="6">
        <v>2</v>
      </c>
      <c r="N74" s="7">
        <v>7450</v>
      </c>
      <c r="O74" s="7"/>
      <c r="P74" s="6" t="s">
        <v>27</v>
      </c>
      <c r="Q74" s="6" t="s">
        <v>43</v>
      </c>
      <c r="R74" s="4">
        <v>43873</v>
      </c>
      <c r="S74" s="6" t="s">
        <v>56</v>
      </c>
      <c r="T74" s="6" t="s">
        <v>30</v>
      </c>
    </row>
    <row r="75" spans="1:20" x14ac:dyDescent="0.35">
      <c r="A75" s="4">
        <v>43842</v>
      </c>
      <c r="B75" s="5"/>
      <c r="C75" s="5"/>
      <c r="D75" s="5"/>
      <c r="E75" s="5"/>
      <c r="F75" s="6" t="s">
        <v>189</v>
      </c>
      <c r="G75" s="6" t="s">
        <v>55</v>
      </c>
      <c r="H75" s="6" t="s">
        <v>44</v>
      </c>
      <c r="I75" s="6" t="s">
        <v>149</v>
      </c>
      <c r="J75" s="6" t="s">
        <v>150</v>
      </c>
      <c r="K75" s="6" t="s">
        <v>151</v>
      </c>
      <c r="L75" s="6" t="s">
        <v>155</v>
      </c>
      <c r="M75" s="6">
        <v>5</v>
      </c>
      <c r="N75" s="7">
        <v>9120</v>
      </c>
      <c r="O75" s="7"/>
      <c r="P75" s="6" t="s">
        <v>27</v>
      </c>
      <c r="Q75" s="6" t="s">
        <v>43</v>
      </c>
      <c r="R75" s="4">
        <v>43873</v>
      </c>
      <c r="S75" s="6" t="s">
        <v>56</v>
      </c>
      <c r="T75" s="6" t="s">
        <v>30</v>
      </c>
    </row>
    <row r="76" spans="1:20" x14ac:dyDescent="0.35">
      <c r="A76" s="4">
        <v>43873</v>
      </c>
      <c r="B76" s="5"/>
      <c r="C76" s="5"/>
      <c r="D76" s="5"/>
      <c r="E76" s="5"/>
      <c r="F76" s="6" t="s">
        <v>103</v>
      </c>
      <c r="G76" s="6" t="s">
        <v>104</v>
      </c>
      <c r="H76" s="6" t="s">
        <v>176</v>
      </c>
      <c r="I76" s="6" t="s">
        <v>177</v>
      </c>
      <c r="J76" s="6" t="s">
        <v>150</v>
      </c>
      <c r="K76" s="6" t="s">
        <v>157</v>
      </c>
      <c r="L76" s="6" t="s">
        <v>178</v>
      </c>
      <c r="M76" s="6">
        <v>3</v>
      </c>
      <c r="N76" s="7">
        <v>2000</v>
      </c>
      <c r="O76" s="7"/>
      <c r="P76" s="6" t="s">
        <v>27</v>
      </c>
      <c r="Q76" s="6" t="s">
        <v>110</v>
      </c>
      <c r="R76" s="4">
        <v>43902</v>
      </c>
      <c r="S76" s="6" t="s">
        <v>85</v>
      </c>
      <c r="T76" s="6" t="s">
        <v>36</v>
      </c>
    </row>
    <row r="77" spans="1:20" x14ac:dyDescent="0.35">
      <c r="A77" s="4">
        <v>43873</v>
      </c>
      <c r="B77" s="5"/>
      <c r="C77" s="5"/>
      <c r="D77" s="5"/>
      <c r="E77" s="5"/>
      <c r="F77" s="6" t="s">
        <v>103</v>
      </c>
      <c r="G77" s="6" t="s">
        <v>104</v>
      </c>
      <c r="H77" s="6" t="s">
        <v>191</v>
      </c>
      <c r="I77" s="6" t="s">
        <v>192</v>
      </c>
      <c r="J77" s="6" t="s">
        <v>150</v>
      </c>
      <c r="K77" s="6" t="s">
        <v>151</v>
      </c>
      <c r="L77" s="6" t="s">
        <v>193</v>
      </c>
      <c r="M77" s="6">
        <v>1</v>
      </c>
      <c r="N77" s="7">
        <v>9050</v>
      </c>
      <c r="O77" s="7"/>
      <c r="P77" s="6" t="s">
        <v>27</v>
      </c>
      <c r="Q77" s="6" t="s">
        <v>110</v>
      </c>
      <c r="R77" s="4">
        <v>43902</v>
      </c>
      <c r="S77" s="6" t="s">
        <v>85</v>
      </c>
      <c r="T77" s="6" t="s">
        <v>36</v>
      </c>
    </row>
    <row r="78" spans="1:20" x14ac:dyDescent="0.35">
      <c r="A78" s="4">
        <v>43873</v>
      </c>
      <c r="B78" s="5"/>
      <c r="C78" s="5"/>
      <c r="D78" s="5"/>
      <c r="E78" s="5"/>
      <c r="F78" s="6" t="s">
        <v>194</v>
      </c>
      <c r="G78" s="6" t="s">
        <v>83</v>
      </c>
      <c r="H78" s="6" t="s">
        <v>44</v>
      </c>
      <c r="I78" s="6" t="s">
        <v>149</v>
      </c>
      <c r="J78" s="6" t="s">
        <v>150</v>
      </c>
      <c r="K78" s="6" t="s">
        <v>151</v>
      </c>
      <c r="L78" s="6" t="s">
        <v>152</v>
      </c>
      <c r="M78" s="6">
        <v>1</v>
      </c>
      <c r="N78" s="7">
        <v>11200</v>
      </c>
      <c r="O78" s="7"/>
      <c r="P78" s="6" t="s">
        <v>27</v>
      </c>
      <c r="Q78" s="6" t="s">
        <v>136</v>
      </c>
      <c r="R78" s="4">
        <v>43902</v>
      </c>
      <c r="S78" s="6" t="s">
        <v>85</v>
      </c>
      <c r="T78" s="6" t="s">
        <v>36</v>
      </c>
    </row>
    <row r="79" spans="1:20" x14ac:dyDescent="0.35">
      <c r="A79" s="4">
        <v>43873</v>
      </c>
      <c r="B79" s="5"/>
      <c r="C79" s="5"/>
      <c r="D79" s="5"/>
      <c r="E79" s="5"/>
      <c r="F79" s="6" t="s">
        <v>194</v>
      </c>
      <c r="G79" s="6" t="s">
        <v>83</v>
      </c>
      <c r="H79" s="6" t="s">
        <v>164</v>
      </c>
      <c r="I79" s="6" t="s">
        <v>195</v>
      </c>
      <c r="J79" s="6" t="s">
        <v>150</v>
      </c>
      <c r="K79" s="6" t="s">
        <v>166</v>
      </c>
      <c r="L79" s="6" t="s">
        <v>196</v>
      </c>
      <c r="M79" s="6">
        <v>1</v>
      </c>
      <c r="N79" s="7">
        <v>11000</v>
      </c>
      <c r="O79" s="7"/>
      <c r="P79" s="6" t="s">
        <v>27</v>
      </c>
      <c r="Q79" s="6" t="s">
        <v>136</v>
      </c>
      <c r="R79" s="4">
        <v>43902</v>
      </c>
      <c r="S79" s="6" t="s">
        <v>85</v>
      </c>
      <c r="T79" s="6" t="s">
        <v>36</v>
      </c>
    </row>
    <row r="80" spans="1:20" x14ac:dyDescent="0.35">
      <c r="A80" s="4">
        <v>43873</v>
      </c>
      <c r="B80" s="5"/>
      <c r="C80" s="5"/>
      <c r="D80" s="5"/>
      <c r="E80" s="5"/>
      <c r="F80" s="6" t="s">
        <v>197</v>
      </c>
      <c r="G80" s="6" t="s">
        <v>198</v>
      </c>
      <c r="H80" s="6" t="s">
        <v>191</v>
      </c>
      <c r="I80" s="6" t="s">
        <v>192</v>
      </c>
      <c r="J80" s="6" t="s">
        <v>150</v>
      </c>
      <c r="K80" s="6" t="s">
        <v>151</v>
      </c>
      <c r="L80" s="6" t="s">
        <v>193</v>
      </c>
      <c r="M80" s="6">
        <v>1</v>
      </c>
      <c r="N80" s="7">
        <v>9050</v>
      </c>
      <c r="O80" s="7"/>
      <c r="P80" s="6" t="s">
        <v>27</v>
      </c>
      <c r="Q80" s="6" t="s">
        <v>199</v>
      </c>
      <c r="R80" s="4">
        <v>43902</v>
      </c>
      <c r="S80" s="6" t="s">
        <v>29</v>
      </c>
      <c r="T80" s="6" t="s">
        <v>36</v>
      </c>
    </row>
    <row r="81" spans="1:20" x14ac:dyDescent="0.35">
      <c r="A81" s="4">
        <v>43873</v>
      </c>
      <c r="B81" s="5"/>
      <c r="C81" s="5"/>
      <c r="D81" s="5"/>
      <c r="E81" s="5"/>
      <c r="F81" s="6" t="s">
        <v>197</v>
      </c>
      <c r="G81" s="6" t="s">
        <v>198</v>
      </c>
      <c r="H81" s="6" t="s">
        <v>200</v>
      </c>
      <c r="I81" s="6" t="s">
        <v>201</v>
      </c>
      <c r="J81" s="6" t="s">
        <v>150</v>
      </c>
      <c r="K81" s="6" t="s">
        <v>166</v>
      </c>
      <c r="L81" s="6" t="s">
        <v>202</v>
      </c>
      <c r="M81" s="6">
        <v>1</v>
      </c>
      <c r="N81" s="7">
        <v>7000</v>
      </c>
      <c r="O81" s="7"/>
      <c r="P81" s="6" t="s">
        <v>27</v>
      </c>
      <c r="Q81" s="6" t="s">
        <v>199</v>
      </c>
      <c r="R81" s="4">
        <v>43902</v>
      </c>
      <c r="S81" s="6" t="s">
        <v>29</v>
      </c>
      <c r="T81" s="6" t="s">
        <v>36</v>
      </c>
    </row>
    <row r="82" spans="1:20" x14ac:dyDescent="0.35">
      <c r="A82" s="4">
        <v>43873</v>
      </c>
      <c r="B82" s="5"/>
      <c r="C82" s="5"/>
      <c r="D82" s="5"/>
      <c r="E82" s="5"/>
      <c r="F82" s="6" t="s">
        <v>197</v>
      </c>
      <c r="G82" s="6" t="s">
        <v>198</v>
      </c>
      <c r="H82" s="6" t="s">
        <v>176</v>
      </c>
      <c r="I82" s="6" t="s">
        <v>177</v>
      </c>
      <c r="J82" s="6" t="s">
        <v>150</v>
      </c>
      <c r="K82" s="6" t="s">
        <v>157</v>
      </c>
      <c r="L82" s="6" t="s">
        <v>178</v>
      </c>
      <c r="M82" s="6">
        <v>2</v>
      </c>
      <c r="N82" s="7">
        <v>2000</v>
      </c>
      <c r="O82" s="7"/>
      <c r="P82" s="6" t="s">
        <v>27</v>
      </c>
      <c r="Q82" s="6" t="s">
        <v>199</v>
      </c>
      <c r="R82" s="4">
        <v>43902</v>
      </c>
      <c r="S82" s="6" t="s">
        <v>29</v>
      </c>
      <c r="T82" s="6" t="s">
        <v>36</v>
      </c>
    </row>
    <row r="83" spans="1:20" x14ac:dyDescent="0.35">
      <c r="A83" s="4">
        <v>43873</v>
      </c>
      <c r="B83" s="5"/>
      <c r="C83" s="5"/>
      <c r="D83" s="5"/>
      <c r="E83" s="5"/>
      <c r="F83" s="6" t="s">
        <v>197</v>
      </c>
      <c r="G83" s="6" t="s">
        <v>198</v>
      </c>
      <c r="H83" s="6" t="s">
        <v>39</v>
      </c>
      <c r="I83" s="6" t="s">
        <v>172</v>
      </c>
      <c r="J83" s="6" t="s">
        <v>150</v>
      </c>
      <c r="K83" s="6" t="s">
        <v>166</v>
      </c>
      <c r="L83" s="6" t="s">
        <v>203</v>
      </c>
      <c r="M83" s="6">
        <v>1</v>
      </c>
      <c r="N83" s="7">
        <v>3750</v>
      </c>
      <c r="O83" s="7"/>
      <c r="P83" s="6" t="s">
        <v>27</v>
      </c>
      <c r="Q83" s="6" t="s">
        <v>199</v>
      </c>
      <c r="R83" s="4">
        <v>43902</v>
      </c>
      <c r="S83" s="6" t="s">
        <v>29</v>
      </c>
      <c r="T83" s="6" t="s">
        <v>36</v>
      </c>
    </row>
    <row r="84" spans="1:20" x14ac:dyDescent="0.35">
      <c r="A84" s="4">
        <v>43873</v>
      </c>
      <c r="B84" s="5"/>
      <c r="C84" s="5"/>
      <c r="D84" s="5"/>
      <c r="E84" s="5"/>
      <c r="F84" s="6" t="s">
        <v>204</v>
      </c>
      <c r="G84" s="6" t="s">
        <v>205</v>
      </c>
      <c r="H84" s="6" t="s">
        <v>200</v>
      </c>
      <c r="I84" s="6" t="s">
        <v>201</v>
      </c>
      <c r="J84" s="6" t="s">
        <v>150</v>
      </c>
      <c r="K84" s="6" t="s">
        <v>166</v>
      </c>
      <c r="L84" s="6" t="s">
        <v>206</v>
      </c>
      <c r="M84" s="6">
        <v>1</v>
      </c>
      <c r="N84" s="7">
        <v>6750</v>
      </c>
      <c r="O84" s="7"/>
      <c r="P84" s="6" t="s">
        <v>27</v>
      </c>
      <c r="Q84" s="6" t="s">
        <v>207</v>
      </c>
      <c r="R84" s="4">
        <v>43902</v>
      </c>
      <c r="S84" s="6" t="s">
        <v>29</v>
      </c>
      <c r="T84" s="6" t="s">
        <v>36</v>
      </c>
    </row>
    <row r="85" spans="1:20" x14ac:dyDescent="0.35">
      <c r="A85" s="4">
        <v>43873</v>
      </c>
      <c r="B85" s="5"/>
      <c r="C85" s="5"/>
      <c r="D85" s="5"/>
      <c r="E85" s="5"/>
      <c r="F85" s="6" t="s">
        <v>204</v>
      </c>
      <c r="G85" s="6" t="s">
        <v>205</v>
      </c>
      <c r="H85" s="6" t="s">
        <v>44</v>
      </c>
      <c r="I85" s="6" t="s">
        <v>149</v>
      </c>
      <c r="J85" s="6" t="s">
        <v>150</v>
      </c>
      <c r="K85" s="6" t="s">
        <v>151</v>
      </c>
      <c r="L85" s="6" t="s">
        <v>155</v>
      </c>
      <c r="M85" s="6">
        <v>1</v>
      </c>
      <c r="N85" s="7">
        <v>9120</v>
      </c>
      <c r="O85" s="7"/>
      <c r="P85" s="6" t="s">
        <v>27</v>
      </c>
      <c r="Q85" s="6" t="s">
        <v>207</v>
      </c>
      <c r="R85" s="4">
        <v>43902</v>
      </c>
      <c r="S85" s="6" t="s">
        <v>29</v>
      </c>
      <c r="T85" s="6" t="s">
        <v>36</v>
      </c>
    </row>
    <row r="86" spans="1:20" x14ac:dyDescent="0.35">
      <c r="A86" s="4">
        <v>43842</v>
      </c>
      <c r="B86" s="5"/>
      <c r="C86" s="5"/>
      <c r="D86" s="5"/>
      <c r="E86" s="5"/>
      <c r="F86" s="6" t="s">
        <v>208</v>
      </c>
      <c r="G86" s="6" t="s">
        <v>209</v>
      </c>
      <c r="H86" s="6" t="s">
        <v>44</v>
      </c>
      <c r="I86" s="6" t="s">
        <v>149</v>
      </c>
      <c r="J86" s="6" t="s">
        <v>150</v>
      </c>
      <c r="K86" s="6" t="s">
        <v>151</v>
      </c>
      <c r="L86" s="6" t="s">
        <v>152</v>
      </c>
      <c r="M86" s="6">
        <v>1</v>
      </c>
      <c r="N86" s="7">
        <v>11200</v>
      </c>
      <c r="O86" s="7"/>
      <c r="P86" s="6" t="s">
        <v>27</v>
      </c>
      <c r="Q86" s="6" t="s">
        <v>182</v>
      </c>
      <c r="R86" s="4">
        <v>43902</v>
      </c>
      <c r="S86" s="6" t="s">
        <v>29</v>
      </c>
      <c r="T86" s="6" t="s">
        <v>36</v>
      </c>
    </row>
    <row r="87" spans="1:20" x14ac:dyDescent="0.35">
      <c r="A87" s="4">
        <v>43842</v>
      </c>
      <c r="B87" s="5"/>
      <c r="C87" s="5"/>
      <c r="D87" s="5"/>
      <c r="E87" s="5"/>
      <c r="F87" s="6" t="s">
        <v>208</v>
      </c>
      <c r="G87" s="6" t="s">
        <v>209</v>
      </c>
      <c r="H87" s="6" t="s">
        <v>44</v>
      </c>
      <c r="I87" s="6" t="s">
        <v>149</v>
      </c>
      <c r="J87" s="6" t="s">
        <v>150</v>
      </c>
      <c r="K87" s="6" t="s">
        <v>151</v>
      </c>
      <c r="L87" s="6" t="s">
        <v>155</v>
      </c>
      <c r="M87" s="6">
        <v>1</v>
      </c>
      <c r="N87" s="7">
        <v>9120</v>
      </c>
      <c r="O87" s="7"/>
      <c r="P87" s="6" t="s">
        <v>27</v>
      </c>
      <c r="Q87" s="6" t="s">
        <v>182</v>
      </c>
      <c r="R87" s="4">
        <v>43902</v>
      </c>
      <c r="S87" s="6" t="s">
        <v>29</v>
      </c>
      <c r="T87" s="6" t="s">
        <v>36</v>
      </c>
    </row>
    <row r="88" spans="1:20" x14ac:dyDescent="0.35">
      <c r="A88" s="4">
        <v>43842</v>
      </c>
      <c r="B88" s="5"/>
      <c r="C88" s="5"/>
      <c r="D88" s="5"/>
      <c r="E88" s="5"/>
      <c r="F88" s="6" t="s">
        <v>210</v>
      </c>
      <c r="G88" s="6" t="s">
        <v>21</v>
      </c>
      <c r="H88" s="6" t="s">
        <v>164</v>
      </c>
      <c r="I88" s="6" t="s">
        <v>165</v>
      </c>
      <c r="J88" s="6" t="s">
        <v>150</v>
      </c>
      <c r="K88" s="6" t="s">
        <v>166</v>
      </c>
      <c r="L88" s="6" t="s">
        <v>211</v>
      </c>
      <c r="M88" s="6">
        <v>15</v>
      </c>
      <c r="N88" s="7">
        <v>8500</v>
      </c>
      <c r="O88" s="7"/>
      <c r="P88" s="6" t="s">
        <v>27</v>
      </c>
      <c r="Q88" s="6" t="s">
        <v>52</v>
      </c>
      <c r="R88" s="4">
        <v>43902</v>
      </c>
      <c r="S88" s="6" t="s">
        <v>29</v>
      </c>
      <c r="T88" s="6" t="s">
        <v>30</v>
      </c>
    </row>
    <row r="89" spans="1:20" x14ac:dyDescent="0.35">
      <c r="A89" s="4">
        <v>43873</v>
      </c>
      <c r="B89" s="5"/>
      <c r="C89" s="5"/>
      <c r="D89" s="5"/>
      <c r="E89" s="5"/>
      <c r="F89" s="6" t="s">
        <v>212</v>
      </c>
      <c r="G89" s="6" t="s">
        <v>21</v>
      </c>
      <c r="H89" s="6" t="s">
        <v>200</v>
      </c>
      <c r="I89" s="6" t="s">
        <v>201</v>
      </c>
      <c r="J89" s="6" t="s">
        <v>150</v>
      </c>
      <c r="K89" s="6" t="s">
        <v>166</v>
      </c>
      <c r="L89" s="6" t="s">
        <v>213</v>
      </c>
      <c r="M89" s="6">
        <v>10</v>
      </c>
      <c r="N89" s="7">
        <v>8500</v>
      </c>
      <c r="O89" s="7"/>
      <c r="P89" s="6" t="s">
        <v>27</v>
      </c>
      <c r="Q89" s="6" t="s">
        <v>52</v>
      </c>
      <c r="R89" s="4">
        <v>43902</v>
      </c>
      <c r="S89" s="6" t="s">
        <v>29</v>
      </c>
      <c r="T89" s="6" t="s">
        <v>30</v>
      </c>
    </row>
    <row r="90" spans="1:20" x14ac:dyDescent="0.35">
      <c r="A90" s="4">
        <v>43873</v>
      </c>
      <c r="B90" s="5"/>
      <c r="C90" s="5"/>
      <c r="D90" s="5"/>
      <c r="E90" s="5"/>
      <c r="F90" s="6" t="s">
        <v>214</v>
      </c>
      <c r="G90" s="6" t="s">
        <v>21</v>
      </c>
      <c r="H90" s="6" t="s">
        <v>200</v>
      </c>
      <c r="I90" s="6" t="s">
        <v>201</v>
      </c>
      <c r="J90" s="6" t="s">
        <v>150</v>
      </c>
      <c r="K90" s="6" t="s">
        <v>166</v>
      </c>
      <c r="L90" s="6" t="s">
        <v>206</v>
      </c>
      <c r="M90" s="6">
        <v>50</v>
      </c>
      <c r="N90" s="7">
        <v>6750</v>
      </c>
      <c r="O90" s="7"/>
      <c r="P90" s="6" t="s">
        <v>27</v>
      </c>
      <c r="Q90" s="6" t="s">
        <v>52</v>
      </c>
      <c r="R90" s="4">
        <v>43902</v>
      </c>
      <c r="S90" s="6" t="s">
        <v>29</v>
      </c>
      <c r="T90" s="6" t="s">
        <v>30</v>
      </c>
    </row>
    <row r="91" spans="1:20" x14ac:dyDescent="0.35">
      <c r="A91" s="4">
        <v>43873</v>
      </c>
      <c r="B91" s="5"/>
      <c r="C91" s="5"/>
      <c r="D91" s="5"/>
      <c r="E91" s="5"/>
      <c r="F91" s="6" t="s">
        <v>215</v>
      </c>
      <c r="G91" s="6" t="s">
        <v>21</v>
      </c>
      <c r="H91" s="6" t="s">
        <v>200</v>
      </c>
      <c r="I91" s="6" t="s">
        <v>201</v>
      </c>
      <c r="J91" s="6" t="s">
        <v>150</v>
      </c>
      <c r="K91" s="6" t="s">
        <v>166</v>
      </c>
      <c r="L91" s="6" t="s">
        <v>206</v>
      </c>
      <c r="M91" s="6">
        <v>60</v>
      </c>
      <c r="N91" s="7">
        <v>6750</v>
      </c>
      <c r="O91" s="7"/>
      <c r="P91" s="6" t="s">
        <v>27</v>
      </c>
      <c r="Q91" s="6" t="s">
        <v>52</v>
      </c>
      <c r="R91" s="4">
        <v>43902</v>
      </c>
      <c r="S91" s="6" t="s">
        <v>29</v>
      </c>
      <c r="T91" s="6" t="s">
        <v>30</v>
      </c>
    </row>
    <row r="92" spans="1:20" x14ac:dyDescent="0.35">
      <c r="A92" s="4">
        <v>43873</v>
      </c>
      <c r="B92" s="5"/>
      <c r="C92" s="5"/>
      <c r="D92" s="5"/>
      <c r="E92" s="5"/>
      <c r="F92" s="6" t="s">
        <v>216</v>
      </c>
      <c r="G92" s="6" t="s">
        <v>160</v>
      </c>
      <c r="H92" s="6" t="s">
        <v>191</v>
      </c>
      <c r="I92" s="6" t="s">
        <v>192</v>
      </c>
      <c r="J92" s="6" t="s">
        <v>150</v>
      </c>
      <c r="K92" s="6" t="s">
        <v>151</v>
      </c>
      <c r="L92" s="6" t="s">
        <v>193</v>
      </c>
      <c r="M92" s="6">
        <v>5</v>
      </c>
      <c r="N92" s="7">
        <v>9050</v>
      </c>
      <c r="O92" s="7"/>
      <c r="P92" s="6" t="s">
        <v>27</v>
      </c>
      <c r="Q92" s="6" t="s">
        <v>61</v>
      </c>
      <c r="R92" s="4">
        <v>43902</v>
      </c>
      <c r="S92" s="6" t="s">
        <v>29</v>
      </c>
      <c r="T92" s="6" t="s">
        <v>30</v>
      </c>
    </row>
    <row r="93" spans="1:20" x14ac:dyDescent="0.35">
      <c r="A93" s="4">
        <v>43873</v>
      </c>
      <c r="B93" s="5"/>
      <c r="C93" s="5"/>
      <c r="D93" s="5"/>
      <c r="E93" s="5"/>
      <c r="F93" s="6" t="s">
        <v>217</v>
      </c>
      <c r="G93" s="6" t="s">
        <v>160</v>
      </c>
      <c r="H93" s="6" t="s">
        <v>191</v>
      </c>
      <c r="I93" s="6" t="s">
        <v>192</v>
      </c>
      <c r="J93" s="6" t="s">
        <v>150</v>
      </c>
      <c r="K93" s="6" t="s">
        <v>151</v>
      </c>
      <c r="L93" s="6" t="s">
        <v>193</v>
      </c>
      <c r="M93" s="6">
        <v>5</v>
      </c>
      <c r="N93" s="7">
        <v>9050</v>
      </c>
      <c r="O93" s="7"/>
      <c r="P93" s="6" t="s">
        <v>27</v>
      </c>
      <c r="Q93" s="6" t="s">
        <v>61</v>
      </c>
      <c r="R93" s="4">
        <v>43902</v>
      </c>
      <c r="S93" s="6" t="s">
        <v>29</v>
      </c>
      <c r="T93" s="6" t="s">
        <v>30</v>
      </c>
    </row>
    <row r="94" spans="1:20" x14ac:dyDescent="0.35">
      <c r="A94" s="4">
        <v>43873</v>
      </c>
      <c r="B94" s="5"/>
      <c r="C94" s="5"/>
      <c r="D94" s="5"/>
      <c r="E94" s="5"/>
      <c r="F94" s="6" t="s">
        <v>218</v>
      </c>
      <c r="G94" s="6" t="s">
        <v>160</v>
      </c>
      <c r="H94" s="6" t="s">
        <v>44</v>
      </c>
      <c r="I94" s="6" t="s">
        <v>149</v>
      </c>
      <c r="J94" s="6" t="s">
        <v>150</v>
      </c>
      <c r="K94" s="6" t="s">
        <v>151</v>
      </c>
      <c r="L94" s="6" t="s">
        <v>155</v>
      </c>
      <c r="M94" s="6">
        <v>15</v>
      </c>
      <c r="N94" s="7">
        <v>9120</v>
      </c>
      <c r="O94" s="7"/>
      <c r="P94" s="6" t="s">
        <v>27</v>
      </c>
      <c r="Q94" s="6" t="s">
        <v>61</v>
      </c>
      <c r="R94" s="4">
        <v>43902</v>
      </c>
      <c r="S94" s="6" t="s">
        <v>29</v>
      </c>
      <c r="T94" s="6" t="s">
        <v>30</v>
      </c>
    </row>
    <row r="95" spans="1:20" x14ac:dyDescent="0.35">
      <c r="A95" s="4">
        <v>43842</v>
      </c>
      <c r="B95" s="5"/>
      <c r="C95" s="5"/>
      <c r="D95" s="5"/>
      <c r="E95" s="5"/>
      <c r="F95" s="6" t="s">
        <v>54</v>
      </c>
      <c r="G95" s="6" t="s">
        <v>55</v>
      </c>
      <c r="H95" s="6" t="s">
        <v>219</v>
      </c>
      <c r="I95" s="6" t="s">
        <v>220</v>
      </c>
      <c r="J95" s="6" t="s">
        <v>150</v>
      </c>
      <c r="K95" s="6" t="s">
        <v>221</v>
      </c>
      <c r="L95" s="6" t="s">
        <v>222</v>
      </c>
      <c r="M95" s="6">
        <v>5</v>
      </c>
      <c r="N95" s="7">
        <v>4200</v>
      </c>
      <c r="O95" s="7"/>
      <c r="P95" s="6" t="s">
        <v>27</v>
      </c>
      <c r="Q95" s="6" t="s">
        <v>43</v>
      </c>
      <c r="R95" s="4">
        <v>43902</v>
      </c>
      <c r="S95" s="6" t="s">
        <v>56</v>
      </c>
      <c r="T95" s="6" t="s">
        <v>30</v>
      </c>
    </row>
    <row r="96" spans="1:20" x14ac:dyDescent="0.35">
      <c r="A96" s="4">
        <v>43842</v>
      </c>
      <c r="B96" s="5"/>
      <c r="C96" s="5"/>
      <c r="D96" s="5"/>
      <c r="E96" s="5"/>
      <c r="F96" s="6" t="s">
        <v>54</v>
      </c>
      <c r="G96" s="6" t="s">
        <v>55</v>
      </c>
      <c r="H96" s="6" t="s">
        <v>168</v>
      </c>
      <c r="I96" s="6" t="s">
        <v>169</v>
      </c>
      <c r="J96" s="6" t="s">
        <v>150</v>
      </c>
      <c r="K96" s="6" t="s">
        <v>170</v>
      </c>
      <c r="L96" s="6" t="s">
        <v>185</v>
      </c>
      <c r="M96" s="6">
        <v>3</v>
      </c>
      <c r="N96" s="7">
        <v>3000</v>
      </c>
      <c r="O96" s="7"/>
      <c r="P96" s="6" t="s">
        <v>27</v>
      </c>
      <c r="Q96" s="6" t="s">
        <v>43</v>
      </c>
      <c r="R96" s="4">
        <v>43902</v>
      </c>
      <c r="S96" s="6" t="s">
        <v>56</v>
      </c>
      <c r="T96" s="6" t="s">
        <v>30</v>
      </c>
    </row>
    <row r="97" spans="1:20" x14ac:dyDescent="0.35">
      <c r="A97" s="4">
        <v>43842</v>
      </c>
      <c r="B97" s="5"/>
      <c r="C97" s="5"/>
      <c r="D97" s="5"/>
      <c r="E97" s="5"/>
      <c r="F97" s="6" t="s">
        <v>54</v>
      </c>
      <c r="G97" s="6" t="s">
        <v>55</v>
      </c>
      <c r="H97" s="6" t="s">
        <v>168</v>
      </c>
      <c r="I97" s="6" t="s">
        <v>169</v>
      </c>
      <c r="J97" s="6" t="s">
        <v>150</v>
      </c>
      <c r="K97" s="6" t="s">
        <v>170</v>
      </c>
      <c r="L97" s="6" t="s">
        <v>171</v>
      </c>
      <c r="M97" s="6">
        <v>3</v>
      </c>
      <c r="N97" s="7">
        <v>3000</v>
      </c>
      <c r="O97" s="7"/>
      <c r="P97" s="6" t="s">
        <v>27</v>
      </c>
      <c r="Q97" s="6" t="s">
        <v>43</v>
      </c>
      <c r="R97" s="4">
        <v>43902</v>
      </c>
      <c r="S97" s="6" t="s">
        <v>56</v>
      </c>
      <c r="T97" s="6" t="s">
        <v>30</v>
      </c>
    </row>
    <row r="98" spans="1:20" x14ac:dyDescent="0.35">
      <c r="A98" s="4">
        <v>43842</v>
      </c>
      <c r="B98" s="5"/>
      <c r="C98" s="5"/>
      <c r="D98" s="5"/>
      <c r="E98" s="5"/>
      <c r="F98" s="6" t="s">
        <v>223</v>
      </c>
      <c r="G98" s="6" t="s">
        <v>55</v>
      </c>
      <c r="H98" s="6" t="s">
        <v>44</v>
      </c>
      <c r="I98" s="6" t="s">
        <v>149</v>
      </c>
      <c r="J98" s="6" t="s">
        <v>150</v>
      </c>
      <c r="K98" s="6" t="s">
        <v>151</v>
      </c>
      <c r="L98" s="6" t="s">
        <v>190</v>
      </c>
      <c r="M98" s="6">
        <v>5</v>
      </c>
      <c r="N98" s="7">
        <v>10050</v>
      </c>
      <c r="O98" s="7"/>
      <c r="P98" s="6" t="s">
        <v>27</v>
      </c>
      <c r="Q98" s="6" t="s">
        <v>43</v>
      </c>
      <c r="R98" s="4">
        <v>43902</v>
      </c>
      <c r="S98" s="6" t="s">
        <v>56</v>
      </c>
      <c r="T98" s="6" t="s">
        <v>30</v>
      </c>
    </row>
    <row r="99" spans="1:20" x14ac:dyDescent="0.35">
      <c r="A99" s="4">
        <v>43902</v>
      </c>
      <c r="B99" s="5"/>
      <c r="C99" s="5"/>
      <c r="D99" s="5"/>
      <c r="E99" s="5"/>
      <c r="F99" s="6" t="s">
        <v>224</v>
      </c>
      <c r="G99" s="6" t="s">
        <v>225</v>
      </c>
      <c r="H99" s="6" t="s">
        <v>200</v>
      </c>
      <c r="I99" s="6" t="s">
        <v>201</v>
      </c>
      <c r="J99" s="6" t="s">
        <v>150</v>
      </c>
      <c r="K99" s="6" t="s">
        <v>166</v>
      </c>
      <c r="L99" s="6" t="s">
        <v>206</v>
      </c>
      <c r="M99" s="6">
        <v>5</v>
      </c>
      <c r="N99" s="7">
        <v>6750</v>
      </c>
      <c r="O99" s="7"/>
      <c r="P99" s="6" t="s">
        <v>27</v>
      </c>
      <c r="Q99" s="6" t="s">
        <v>94</v>
      </c>
      <c r="R99" s="4">
        <v>43933</v>
      </c>
      <c r="S99" s="6" t="s">
        <v>29</v>
      </c>
      <c r="T99" s="6" t="s">
        <v>36</v>
      </c>
    </row>
    <row r="100" spans="1:20" x14ac:dyDescent="0.35">
      <c r="A100" s="4">
        <v>43902</v>
      </c>
      <c r="B100" s="5"/>
      <c r="C100" s="5"/>
      <c r="D100" s="5"/>
      <c r="E100" s="5"/>
      <c r="F100" s="6" t="s">
        <v>226</v>
      </c>
      <c r="G100" s="6" t="s">
        <v>227</v>
      </c>
      <c r="H100" s="6" t="s">
        <v>164</v>
      </c>
      <c r="I100" s="6" t="s">
        <v>165</v>
      </c>
      <c r="J100" s="6" t="s">
        <v>150</v>
      </c>
      <c r="K100" s="6" t="s">
        <v>166</v>
      </c>
      <c r="L100" s="6" t="s">
        <v>167</v>
      </c>
      <c r="M100" s="6">
        <v>1</v>
      </c>
      <c r="N100" s="7">
        <v>7800</v>
      </c>
      <c r="O100" s="7"/>
      <c r="P100" s="6" t="s">
        <v>27</v>
      </c>
      <c r="Q100" s="6" t="s">
        <v>228</v>
      </c>
      <c r="R100" s="4">
        <v>43933</v>
      </c>
      <c r="S100" s="6" t="s">
        <v>29</v>
      </c>
      <c r="T100" s="6" t="s">
        <v>36</v>
      </c>
    </row>
    <row r="101" spans="1:20" x14ac:dyDescent="0.35">
      <c r="A101" s="4">
        <v>43902</v>
      </c>
      <c r="B101" s="5"/>
      <c r="C101" s="5"/>
      <c r="D101" s="5"/>
      <c r="E101" s="5"/>
      <c r="F101" s="6" t="s">
        <v>226</v>
      </c>
      <c r="G101" s="6" t="s">
        <v>227</v>
      </c>
      <c r="H101" s="6" t="s">
        <v>200</v>
      </c>
      <c r="I101" s="6" t="s">
        <v>201</v>
      </c>
      <c r="J101" s="6" t="s">
        <v>150</v>
      </c>
      <c r="K101" s="6" t="s">
        <v>166</v>
      </c>
      <c r="L101" s="6" t="s">
        <v>206</v>
      </c>
      <c r="M101" s="6">
        <v>1</v>
      </c>
      <c r="N101" s="7">
        <v>6750</v>
      </c>
      <c r="O101" s="7"/>
      <c r="P101" s="6" t="s">
        <v>27</v>
      </c>
      <c r="Q101" s="6" t="s">
        <v>228</v>
      </c>
      <c r="R101" s="4">
        <v>43933</v>
      </c>
      <c r="S101" s="6" t="s">
        <v>29</v>
      </c>
      <c r="T101" s="6" t="s">
        <v>36</v>
      </c>
    </row>
    <row r="102" spans="1:20" x14ac:dyDescent="0.35">
      <c r="A102" s="4">
        <v>43902</v>
      </c>
      <c r="B102" s="5"/>
      <c r="C102" s="5"/>
      <c r="D102" s="5"/>
      <c r="E102" s="5"/>
      <c r="F102" s="6" t="s">
        <v>229</v>
      </c>
      <c r="G102" s="6" t="s">
        <v>230</v>
      </c>
      <c r="H102" s="6" t="s">
        <v>200</v>
      </c>
      <c r="I102" s="6" t="s">
        <v>201</v>
      </c>
      <c r="J102" s="6" t="s">
        <v>150</v>
      </c>
      <c r="K102" s="6" t="s">
        <v>166</v>
      </c>
      <c r="L102" s="6" t="s">
        <v>206</v>
      </c>
      <c r="M102" s="6">
        <v>4</v>
      </c>
      <c r="N102" s="7">
        <v>6750</v>
      </c>
      <c r="O102" s="7"/>
      <c r="P102" s="6" t="s">
        <v>27</v>
      </c>
      <c r="Q102" s="6" t="s">
        <v>207</v>
      </c>
      <c r="R102" s="4">
        <v>43933</v>
      </c>
      <c r="S102" s="6" t="s">
        <v>85</v>
      </c>
      <c r="T102" s="6" t="s">
        <v>30</v>
      </c>
    </row>
    <row r="103" spans="1:20" x14ac:dyDescent="0.35">
      <c r="A103" s="4">
        <v>43902</v>
      </c>
      <c r="B103" s="5"/>
      <c r="C103" s="5"/>
      <c r="D103" s="5"/>
      <c r="E103" s="5"/>
      <c r="F103" s="6" t="s">
        <v>229</v>
      </c>
      <c r="G103" s="6" t="s">
        <v>230</v>
      </c>
      <c r="H103" s="6" t="s">
        <v>191</v>
      </c>
      <c r="I103" s="6" t="s">
        <v>192</v>
      </c>
      <c r="J103" s="6" t="s">
        <v>150</v>
      </c>
      <c r="K103" s="6" t="s">
        <v>151</v>
      </c>
      <c r="L103" s="6" t="s">
        <v>193</v>
      </c>
      <c r="M103" s="6">
        <v>1</v>
      </c>
      <c r="N103" s="7">
        <v>9050</v>
      </c>
      <c r="O103" s="7"/>
      <c r="P103" s="6" t="s">
        <v>27</v>
      </c>
      <c r="Q103" s="6" t="s">
        <v>207</v>
      </c>
      <c r="R103" s="4">
        <v>43933</v>
      </c>
      <c r="S103" s="6" t="s">
        <v>85</v>
      </c>
      <c r="T103" s="6" t="s">
        <v>30</v>
      </c>
    </row>
    <row r="104" spans="1:20" x14ac:dyDescent="0.35">
      <c r="A104" s="4">
        <v>43902</v>
      </c>
      <c r="B104" s="5"/>
      <c r="C104" s="5"/>
      <c r="D104" s="5"/>
      <c r="E104" s="5"/>
      <c r="F104" s="6" t="s">
        <v>231</v>
      </c>
      <c r="G104" s="6" t="s">
        <v>232</v>
      </c>
      <c r="H104" s="6" t="s">
        <v>44</v>
      </c>
      <c r="I104" s="6" t="s">
        <v>149</v>
      </c>
      <c r="J104" s="6" t="s">
        <v>150</v>
      </c>
      <c r="K104" s="6" t="s">
        <v>151</v>
      </c>
      <c r="L104" s="6" t="s">
        <v>152</v>
      </c>
      <c r="M104" s="6">
        <v>1</v>
      </c>
      <c r="N104" s="7">
        <v>11200</v>
      </c>
      <c r="O104" s="7"/>
      <c r="P104" s="6" t="s">
        <v>27</v>
      </c>
      <c r="Q104" s="6" t="s">
        <v>233</v>
      </c>
      <c r="R104" s="4">
        <v>43933</v>
      </c>
      <c r="S104" s="6" t="s">
        <v>29</v>
      </c>
      <c r="T104" s="6" t="s">
        <v>65</v>
      </c>
    </row>
    <row r="105" spans="1:20" x14ac:dyDescent="0.35">
      <c r="A105" s="4">
        <v>43902</v>
      </c>
      <c r="B105" s="5"/>
      <c r="C105" s="5"/>
      <c r="D105" s="5"/>
      <c r="E105" s="5"/>
      <c r="F105" s="6" t="s">
        <v>231</v>
      </c>
      <c r="G105" s="6" t="s">
        <v>232</v>
      </c>
      <c r="H105" s="6" t="s">
        <v>200</v>
      </c>
      <c r="I105" s="6" t="s">
        <v>201</v>
      </c>
      <c r="J105" s="6" t="s">
        <v>150</v>
      </c>
      <c r="K105" s="6" t="s">
        <v>166</v>
      </c>
      <c r="L105" s="6" t="s">
        <v>213</v>
      </c>
      <c r="M105" s="6">
        <v>1</v>
      </c>
      <c r="N105" s="7">
        <v>8500</v>
      </c>
      <c r="O105" s="7"/>
      <c r="P105" s="6" t="s">
        <v>27</v>
      </c>
      <c r="Q105" s="6" t="s">
        <v>233</v>
      </c>
      <c r="R105" s="4">
        <v>43933</v>
      </c>
      <c r="S105" s="6" t="s">
        <v>29</v>
      </c>
      <c r="T105" s="6" t="s">
        <v>65</v>
      </c>
    </row>
    <row r="106" spans="1:20" x14ac:dyDescent="0.35">
      <c r="A106" s="4">
        <v>43902</v>
      </c>
      <c r="B106" s="5"/>
      <c r="C106" s="5"/>
      <c r="D106" s="5"/>
      <c r="E106" s="5"/>
      <c r="F106" s="6" t="s">
        <v>234</v>
      </c>
      <c r="G106" s="6" t="s">
        <v>235</v>
      </c>
      <c r="H106" s="6" t="s">
        <v>44</v>
      </c>
      <c r="I106" s="6" t="s">
        <v>149</v>
      </c>
      <c r="J106" s="6" t="s">
        <v>150</v>
      </c>
      <c r="K106" s="6" t="s">
        <v>151</v>
      </c>
      <c r="L106" s="6" t="s">
        <v>152</v>
      </c>
      <c r="M106" s="6">
        <v>1</v>
      </c>
      <c r="N106" s="7">
        <v>11200</v>
      </c>
      <c r="O106" s="7"/>
      <c r="P106" s="6" t="s">
        <v>27</v>
      </c>
      <c r="Q106" s="6" t="s">
        <v>136</v>
      </c>
      <c r="R106" s="4">
        <v>43933</v>
      </c>
      <c r="S106" s="6" t="s">
        <v>29</v>
      </c>
      <c r="T106" s="6" t="s">
        <v>65</v>
      </c>
    </row>
    <row r="107" spans="1:20" x14ac:dyDescent="0.35">
      <c r="A107" s="4">
        <v>43902</v>
      </c>
      <c r="B107" s="5"/>
      <c r="C107" s="5"/>
      <c r="D107" s="5"/>
      <c r="E107" s="5"/>
      <c r="F107" s="6" t="s">
        <v>234</v>
      </c>
      <c r="G107" s="6" t="s">
        <v>235</v>
      </c>
      <c r="H107" s="6" t="s">
        <v>164</v>
      </c>
      <c r="I107" s="6" t="s">
        <v>195</v>
      </c>
      <c r="J107" s="6" t="s">
        <v>150</v>
      </c>
      <c r="K107" s="6" t="s">
        <v>166</v>
      </c>
      <c r="L107" s="6" t="s">
        <v>196</v>
      </c>
      <c r="M107" s="6">
        <v>1</v>
      </c>
      <c r="N107" s="7">
        <v>11000</v>
      </c>
      <c r="O107" s="7"/>
      <c r="P107" s="6" t="s">
        <v>27</v>
      </c>
      <c r="Q107" s="6" t="s">
        <v>136</v>
      </c>
      <c r="R107" s="4">
        <v>43933</v>
      </c>
      <c r="S107" s="6" t="s">
        <v>29</v>
      </c>
      <c r="T107" s="6" t="s">
        <v>65</v>
      </c>
    </row>
    <row r="108" spans="1:20" x14ac:dyDescent="0.35">
      <c r="A108" s="4">
        <v>43902</v>
      </c>
      <c r="B108" s="5"/>
      <c r="C108" s="5"/>
      <c r="D108" s="5"/>
      <c r="E108" s="5"/>
      <c r="F108" s="6" t="s">
        <v>234</v>
      </c>
      <c r="G108" s="6" t="s">
        <v>235</v>
      </c>
      <c r="H108" s="6" t="s">
        <v>200</v>
      </c>
      <c r="I108" s="6" t="s">
        <v>201</v>
      </c>
      <c r="J108" s="6" t="s">
        <v>150</v>
      </c>
      <c r="K108" s="6" t="s">
        <v>166</v>
      </c>
      <c r="L108" s="6" t="s">
        <v>213</v>
      </c>
      <c r="M108" s="6">
        <v>1</v>
      </c>
      <c r="N108" s="7">
        <v>8500</v>
      </c>
      <c r="O108" s="7"/>
      <c r="P108" s="6" t="s">
        <v>27</v>
      </c>
      <c r="Q108" s="6" t="s">
        <v>136</v>
      </c>
      <c r="R108" s="4">
        <v>43933</v>
      </c>
      <c r="S108" s="6" t="s">
        <v>29</v>
      </c>
      <c r="T108" s="6" t="s">
        <v>65</v>
      </c>
    </row>
    <row r="109" spans="1:20" x14ac:dyDescent="0.35">
      <c r="A109" s="4">
        <v>43902</v>
      </c>
      <c r="B109" s="5"/>
      <c r="C109" s="5"/>
      <c r="D109" s="5"/>
      <c r="E109" s="5"/>
      <c r="F109" s="6" t="s">
        <v>236</v>
      </c>
      <c r="G109" s="6" t="s">
        <v>237</v>
      </c>
      <c r="H109" s="6" t="s">
        <v>200</v>
      </c>
      <c r="I109" s="6" t="s">
        <v>201</v>
      </c>
      <c r="J109" s="6" t="s">
        <v>150</v>
      </c>
      <c r="K109" s="6" t="s">
        <v>166</v>
      </c>
      <c r="L109" s="6" t="s">
        <v>213</v>
      </c>
      <c r="M109" s="6">
        <v>1</v>
      </c>
      <c r="N109" s="7">
        <v>8500</v>
      </c>
      <c r="O109" s="7"/>
      <c r="P109" s="6" t="s">
        <v>27</v>
      </c>
      <c r="Q109" s="6" t="s">
        <v>238</v>
      </c>
      <c r="R109" s="4">
        <v>43933</v>
      </c>
      <c r="S109" s="6" t="s">
        <v>29</v>
      </c>
      <c r="T109" s="6" t="s">
        <v>65</v>
      </c>
    </row>
    <row r="110" spans="1:20" x14ac:dyDescent="0.35">
      <c r="A110" s="4">
        <v>43902</v>
      </c>
      <c r="B110" s="5"/>
      <c r="C110" s="5"/>
      <c r="D110" s="5"/>
      <c r="E110" s="5"/>
      <c r="F110" s="6" t="s">
        <v>236</v>
      </c>
      <c r="G110" s="6" t="s">
        <v>237</v>
      </c>
      <c r="H110" s="6" t="s">
        <v>164</v>
      </c>
      <c r="I110" s="6" t="s">
        <v>165</v>
      </c>
      <c r="J110" s="6" t="s">
        <v>150</v>
      </c>
      <c r="K110" s="6" t="s">
        <v>166</v>
      </c>
      <c r="L110" s="6" t="s">
        <v>167</v>
      </c>
      <c r="M110" s="6">
        <v>1</v>
      </c>
      <c r="N110" s="7">
        <v>7800</v>
      </c>
      <c r="O110" s="7"/>
      <c r="P110" s="6" t="s">
        <v>27</v>
      </c>
      <c r="Q110" s="6" t="s">
        <v>238</v>
      </c>
      <c r="R110" s="4">
        <v>43933</v>
      </c>
      <c r="S110" s="6" t="s">
        <v>29</v>
      </c>
      <c r="T110" s="6" t="s">
        <v>65</v>
      </c>
    </row>
    <row r="111" spans="1:20" x14ac:dyDescent="0.35">
      <c r="A111" s="4">
        <v>43902</v>
      </c>
      <c r="B111" s="5"/>
      <c r="C111" s="5"/>
      <c r="D111" s="5"/>
      <c r="E111" s="5"/>
      <c r="F111" s="6" t="s">
        <v>236</v>
      </c>
      <c r="G111" s="6" t="s">
        <v>237</v>
      </c>
      <c r="H111" s="6" t="s">
        <v>164</v>
      </c>
      <c r="I111" s="6" t="s">
        <v>165</v>
      </c>
      <c r="J111" s="6" t="s">
        <v>150</v>
      </c>
      <c r="K111" s="6" t="s">
        <v>166</v>
      </c>
      <c r="L111" s="6" t="s">
        <v>239</v>
      </c>
      <c r="M111" s="6">
        <v>1</v>
      </c>
      <c r="N111" s="7">
        <v>6350</v>
      </c>
      <c r="O111" s="7"/>
      <c r="P111" s="6" t="s">
        <v>27</v>
      </c>
      <c r="Q111" s="6" t="s">
        <v>238</v>
      </c>
      <c r="R111" s="4">
        <v>43933</v>
      </c>
      <c r="S111" s="6" t="s">
        <v>29</v>
      </c>
      <c r="T111" s="6" t="s">
        <v>65</v>
      </c>
    </row>
    <row r="112" spans="1:20" x14ac:dyDescent="0.35">
      <c r="A112" s="4">
        <v>43902</v>
      </c>
      <c r="B112" s="5"/>
      <c r="C112" s="5"/>
      <c r="D112" s="5"/>
      <c r="E112" s="5"/>
      <c r="F112" s="6" t="s">
        <v>236</v>
      </c>
      <c r="G112" s="6" t="s">
        <v>237</v>
      </c>
      <c r="H112" s="6" t="s">
        <v>176</v>
      </c>
      <c r="I112" s="6" t="s">
        <v>177</v>
      </c>
      <c r="J112" s="6" t="s">
        <v>150</v>
      </c>
      <c r="K112" s="6" t="s">
        <v>157</v>
      </c>
      <c r="L112" s="6" t="s">
        <v>178</v>
      </c>
      <c r="M112" s="6">
        <v>1</v>
      </c>
      <c r="N112" s="7">
        <v>2000</v>
      </c>
      <c r="O112" s="7"/>
      <c r="P112" s="6" t="s">
        <v>27</v>
      </c>
      <c r="Q112" s="6" t="s">
        <v>238</v>
      </c>
      <c r="R112" s="4">
        <v>43933</v>
      </c>
      <c r="S112" s="6" t="s">
        <v>29</v>
      </c>
      <c r="T112" s="6" t="s">
        <v>65</v>
      </c>
    </row>
    <row r="113" spans="1:20" x14ac:dyDescent="0.35">
      <c r="A113" s="4">
        <v>43902</v>
      </c>
      <c r="B113" s="5"/>
      <c r="C113" s="5"/>
      <c r="D113" s="5"/>
      <c r="E113" s="5"/>
      <c r="F113" s="6" t="s">
        <v>236</v>
      </c>
      <c r="G113" s="6" t="s">
        <v>237</v>
      </c>
      <c r="H113" s="6" t="s">
        <v>39</v>
      </c>
      <c r="I113" s="6" t="s">
        <v>172</v>
      </c>
      <c r="J113" s="6" t="s">
        <v>150</v>
      </c>
      <c r="K113" s="6" t="s">
        <v>166</v>
      </c>
      <c r="L113" s="6" t="s">
        <v>187</v>
      </c>
      <c r="M113" s="6">
        <v>2</v>
      </c>
      <c r="N113" s="7">
        <v>4550</v>
      </c>
      <c r="O113" s="7"/>
      <c r="P113" s="6" t="s">
        <v>27</v>
      </c>
      <c r="Q113" s="6" t="s">
        <v>238</v>
      </c>
      <c r="R113" s="4">
        <v>43933</v>
      </c>
      <c r="S113" s="6" t="s">
        <v>29</v>
      </c>
      <c r="T113" s="6" t="s">
        <v>65</v>
      </c>
    </row>
    <row r="114" spans="1:20" x14ac:dyDescent="0.35">
      <c r="A114" s="4">
        <v>43902</v>
      </c>
      <c r="B114" s="5"/>
      <c r="C114" s="5"/>
      <c r="D114" s="5"/>
      <c r="E114" s="5"/>
      <c r="F114" s="6" t="s">
        <v>236</v>
      </c>
      <c r="G114" s="6" t="s">
        <v>237</v>
      </c>
      <c r="H114" s="6" t="s">
        <v>240</v>
      </c>
      <c r="I114" s="6" t="s">
        <v>241</v>
      </c>
      <c r="J114" s="6" t="s">
        <v>150</v>
      </c>
      <c r="K114" s="6" t="s">
        <v>242</v>
      </c>
      <c r="L114" s="6" t="s">
        <v>243</v>
      </c>
      <c r="M114" s="6">
        <v>1</v>
      </c>
      <c r="N114" s="7">
        <v>14900</v>
      </c>
      <c r="O114" s="7"/>
      <c r="P114" s="6" t="s">
        <v>27</v>
      </c>
      <c r="Q114" s="6" t="s">
        <v>238</v>
      </c>
      <c r="R114" s="4">
        <v>43933</v>
      </c>
      <c r="S114" s="6" t="s">
        <v>29</v>
      </c>
      <c r="T114" s="6" t="s">
        <v>65</v>
      </c>
    </row>
    <row r="115" spans="1:20" x14ac:dyDescent="0.35">
      <c r="A115" s="4">
        <v>43902</v>
      </c>
      <c r="B115" s="5"/>
      <c r="C115" s="5"/>
      <c r="D115" s="5"/>
      <c r="E115" s="5"/>
      <c r="F115" s="6" t="s">
        <v>244</v>
      </c>
      <c r="G115" s="6" t="s">
        <v>237</v>
      </c>
      <c r="H115" s="6" t="s">
        <v>44</v>
      </c>
      <c r="I115" s="6" t="s">
        <v>149</v>
      </c>
      <c r="J115" s="6" t="s">
        <v>150</v>
      </c>
      <c r="K115" s="6" t="s">
        <v>151</v>
      </c>
      <c r="L115" s="6" t="s">
        <v>155</v>
      </c>
      <c r="M115" s="6">
        <v>3</v>
      </c>
      <c r="N115" s="7">
        <v>9120</v>
      </c>
      <c r="O115" s="7"/>
      <c r="P115" s="6" t="s">
        <v>27</v>
      </c>
      <c r="Q115" s="6" t="s">
        <v>238</v>
      </c>
      <c r="R115" s="4">
        <v>43933</v>
      </c>
      <c r="S115" s="6" t="s">
        <v>29</v>
      </c>
      <c r="T115" s="6" t="s">
        <v>36</v>
      </c>
    </row>
    <row r="116" spans="1:20" x14ac:dyDescent="0.35">
      <c r="A116" s="4">
        <v>43902</v>
      </c>
      <c r="B116" s="5"/>
      <c r="C116" s="5"/>
      <c r="D116" s="5"/>
      <c r="E116" s="5"/>
      <c r="F116" s="6" t="s">
        <v>245</v>
      </c>
      <c r="G116" s="6" t="s">
        <v>237</v>
      </c>
      <c r="H116" s="6" t="s">
        <v>168</v>
      </c>
      <c r="I116" s="6" t="s">
        <v>169</v>
      </c>
      <c r="J116" s="6" t="s">
        <v>150</v>
      </c>
      <c r="K116" s="6" t="s">
        <v>170</v>
      </c>
      <c r="L116" s="6" t="s">
        <v>185</v>
      </c>
      <c r="M116" s="6">
        <v>1</v>
      </c>
      <c r="N116" s="7">
        <v>3000</v>
      </c>
      <c r="O116" s="7"/>
      <c r="P116" s="6" t="s">
        <v>27</v>
      </c>
      <c r="Q116" s="6" t="s">
        <v>238</v>
      </c>
      <c r="R116" s="4">
        <v>43933</v>
      </c>
      <c r="S116" s="6" t="s">
        <v>29</v>
      </c>
      <c r="T116" s="6" t="s">
        <v>36</v>
      </c>
    </row>
    <row r="117" spans="1:20" x14ac:dyDescent="0.35">
      <c r="A117" s="4">
        <v>43902</v>
      </c>
      <c r="B117" s="5"/>
      <c r="C117" s="5"/>
      <c r="D117" s="5"/>
      <c r="E117" s="5"/>
      <c r="F117" s="6" t="s">
        <v>245</v>
      </c>
      <c r="G117" s="6" t="s">
        <v>237</v>
      </c>
      <c r="H117" s="6" t="s">
        <v>176</v>
      </c>
      <c r="I117" s="6" t="s">
        <v>177</v>
      </c>
      <c r="J117" s="6" t="s">
        <v>150</v>
      </c>
      <c r="K117" s="6" t="s">
        <v>157</v>
      </c>
      <c r="L117" s="6" t="s">
        <v>178</v>
      </c>
      <c r="M117" s="6">
        <v>1</v>
      </c>
      <c r="N117" s="7">
        <v>2000</v>
      </c>
      <c r="O117" s="7"/>
      <c r="P117" s="6" t="s">
        <v>27</v>
      </c>
      <c r="Q117" s="6" t="s">
        <v>238</v>
      </c>
      <c r="R117" s="4">
        <v>43933</v>
      </c>
      <c r="S117" s="6" t="s">
        <v>29</v>
      </c>
      <c r="T117" s="6" t="s">
        <v>36</v>
      </c>
    </row>
    <row r="118" spans="1:20" x14ac:dyDescent="0.35">
      <c r="A118" s="4">
        <v>43902</v>
      </c>
      <c r="B118" s="5"/>
      <c r="C118" s="5"/>
      <c r="D118" s="5"/>
      <c r="E118" s="5"/>
      <c r="F118" s="6" t="s">
        <v>246</v>
      </c>
      <c r="G118" s="6" t="s">
        <v>21</v>
      </c>
      <c r="H118" s="6" t="s">
        <v>44</v>
      </c>
      <c r="I118" s="6" t="s">
        <v>156</v>
      </c>
      <c r="J118" s="6" t="s">
        <v>150</v>
      </c>
      <c r="K118" s="6" t="s">
        <v>157</v>
      </c>
      <c r="L118" s="6" t="s">
        <v>247</v>
      </c>
      <c r="M118" s="6">
        <v>10</v>
      </c>
      <c r="N118" s="7">
        <v>7050</v>
      </c>
      <c r="O118" s="7"/>
      <c r="P118" s="6" t="s">
        <v>27</v>
      </c>
      <c r="Q118" s="6" t="s">
        <v>28</v>
      </c>
      <c r="R118" s="4">
        <v>43933</v>
      </c>
      <c r="S118" s="6" t="s">
        <v>29</v>
      </c>
      <c r="T118" s="6" t="s">
        <v>30</v>
      </c>
    </row>
    <row r="119" spans="1:20" x14ac:dyDescent="0.35">
      <c r="A119" s="4">
        <v>43902</v>
      </c>
      <c r="B119" s="5"/>
      <c r="C119" s="5"/>
      <c r="D119" s="5"/>
      <c r="E119" s="5"/>
      <c r="F119" s="6" t="s">
        <v>248</v>
      </c>
      <c r="G119" s="6" t="s">
        <v>21</v>
      </c>
      <c r="H119" s="6" t="s">
        <v>44</v>
      </c>
      <c r="I119" s="6" t="s">
        <v>149</v>
      </c>
      <c r="J119" s="6" t="s">
        <v>150</v>
      </c>
      <c r="K119" s="6" t="s">
        <v>151</v>
      </c>
      <c r="L119" s="6" t="s">
        <v>152</v>
      </c>
      <c r="M119" s="6">
        <v>5</v>
      </c>
      <c r="N119" s="7">
        <v>11200</v>
      </c>
      <c r="O119" s="7"/>
      <c r="P119" s="6" t="s">
        <v>27</v>
      </c>
      <c r="Q119" s="6" t="s">
        <v>28</v>
      </c>
      <c r="R119" s="4">
        <v>43933</v>
      </c>
      <c r="S119" s="6" t="s">
        <v>29</v>
      </c>
      <c r="T119" s="6" t="s">
        <v>30</v>
      </c>
    </row>
    <row r="120" spans="1:20" x14ac:dyDescent="0.35">
      <c r="A120" s="4">
        <v>43902</v>
      </c>
      <c r="B120" s="5"/>
      <c r="C120" s="5"/>
      <c r="D120" s="5"/>
      <c r="E120" s="5"/>
      <c r="F120" s="6" t="s">
        <v>249</v>
      </c>
      <c r="G120" s="6" t="s">
        <v>21</v>
      </c>
      <c r="H120" s="6" t="s">
        <v>44</v>
      </c>
      <c r="I120" s="6" t="s">
        <v>149</v>
      </c>
      <c r="J120" s="6" t="s">
        <v>150</v>
      </c>
      <c r="K120" s="6" t="s">
        <v>151</v>
      </c>
      <c r="L120" s="6" t="s">
        <v>152</v>
      </c>
      <c r="M120" s="6">
        <v>5</v>
      </c>
      <c r="N120" s="7">
        <v>11200</v>
      </c>
      <c r="O120" s="7"/>
      <c r="P120" s="6" t="s">
        <v>27</v>
      </c>
      <c r="Q120" s="6" t="s">
        <v>28</v>
      </c>
      <c r="R120" s="4">
        <v>43933</v>
      </c>
      <c r="S120" s="6" t="s">
        <v>29</v>
      </c>
      <c r="T120" s="6" t="s">
        <v>30</v>
      </c>
    </row>
    <row r="121" spans="1:20" x14ac:dyDescent="0.35">
      <c r="A121" s="4">
        <v>43902</v>
      </c>
      <c r="B121" s="5"/>
      <c r="C121" s="5"/>
      <c r="D121" s="5"/>
      <c r="E121" s="5"/>
      <c r="F121" s="6" t="s">
        <v>250</v>
      </c>
      <c r="G121" s="6" t="s">
        <v>21</v>
      </c>
      <c r="H121" s="6" t="s">
        <v>44</v>
      </c>
      <c r="I121" s="6" t="s">
        <v>156</v>
      </c>
      <c r="J121" s="6" t="s">
        <v>150</v>
      </c>
      <c r="K121" s="6" t="s">
        <v>157</v>
      </c>
      <c r="L121" s="6" t="s">
        <v>158</v>
      </c>
      <c r="M121" s="6">
        <v>5</v>
      </c>
      <c r="N121" s="7">
        <v>7450</v>
      </c>
      <c r="O121" s="7"/>
      <c r="P121" s="6" t="s">
        <v>27</v>
      </c>
      <c r="Q121" s="6" t="s">
        <v>28</v>
      </c>
      <c r="R121" s="4">
        <v>43933</v>
      </c>
      <c r="S121" s="6" t="s">
        <v>29</v>
      </c>
      <c r="T121" s="6" t="s">
        <v>30</v>
      </c>
    </row>
    <row r="122" spans="1:20" x14ac:dyDescent="0.35">
      <c r="A122" s="4">
        <v>43902</v>
      </c>
      <c r="B122" s="5"/>
      <c r="C122" s="5"/>
      <c r="D122" s="5"/>
      <c r="E122" s="5"/>
      <c r="F122" s="6" t="s">
        <v>251</v>
      </c>
      <c r="G122" s="6" t="s">
        <v>142</v>
      </c>
      <c r="H122" s="6" t="s">
        <v>168</v>
      </c>
      <c r="I122" s="6" t="s">
        <v>169</v>
      </c>
      <c r="J122" s="6" t="s">
        <v>150</v>
      </c>
      <c r="K122" s="6" t="s">
        <v>170</v>
      </c>
      <c r="L122" s="6" t="s">
        <v>185</v>
      </c>
      <c r="M122" s="6">
        <v>2</v>
      </c>
      <c r="N122" s="7">
        <v>3000</v>
      </c>
      <c r="O122" s="7"/>
      <c r="P122" s="6" t="s">
        <v>27</v>
      </c>
      <c r="Q122" s="6" t="s">
        <v>252</v>
      </c>
      <c r="R122" s="4">
        <v>43933</v>
      </c>
      <c r="S122" s="6" t="s">
        <v>85</v>
      </c>
      <c r="T122" s="6" t="s">
        <v>36</v>
      </c>
    </row>
    <row r="123" spans="1:20" x14ac:dyDescent="0.35">
      <c r="A123" s="4">
        <v>43902</v>
      </c>
      <c r="B123" s="5"/>
      <c r="C123" s="5"/>
      <c r="D123" s="5"/>
      <c r="E123" s="5"/>
      <c r="F123" s="6" t="s">
        <v>253</v>
      </c>
      <c r="G123" s="6" t="s">
        <v>254</v>
      </c>
      <c r="H123" s="6" t="s">
        <v>200</v>
      </c>
      <c r="I123" s="6" t="s">
        <v>201</v>
      </c>
      <c r="J123" s="6" t="s">
        <v>150</v>
      </c>
      <c r="K123" s="6" t="s">
        <v>166</v>
      </c>
      <c r="L123" s="6" t="s">
        <v>213</v>
      </c>
      <c r="M123" s="6">
        <v>5</v>
      </c>
      <c r="N123" s="7">
        <v>8500</v>
      </c>
      <c r="O123" s="7"/>
      <c r="P123" s="6" t="s">
        <v>27</v>
      </c>
      <c r="Q123" s="6" t="s">
        <v>255</v>
      </c>
      <c r="R123" s="4">
        <v>43933</v>
      </c>
      <c r="S123" s="6" t="s">
        <v>29</v>
      </c>
      <c r="T123" s="6" t="s">
        <v>36</v>
      </c>
    </row>
    <row r="124" spans="1:20" x14ac:dyDescent="0.35">
      <c r="A124" s="4">
        <v>43902</v>
      </c>
      <c r="B124" s="5"/>
      <c r="C124" s="5"/>
      <c r="D124" s="5"/>
      <c r="E124" s="5"/>
      <c r="F124" s="6" t="s">
        <v>253</v>
      </c>
      <c r="G124" s="6" t="s">
        <v>254</v>
      </c>
      <c r="H124" s="6" t="s">
        <v>44</v>
      </c>
      <c r="I124" s="6" t="s">
        <v>156</v>
      </c>
      <c r="J124" s="6" t="s">
        <v>150</v>
      </c>
      <c r="K124" s="6" t="s">
        <v>157</v>
      </c>
      <c r="L124" s="6" t="s">
        <v>158</v>
      </c>
      <c r="M124" s="6">
        <v>3</v>
      </c>
      <c r="N124" s="7">
        <v>7450</v>
      </c>
      <c r="O124" s="7"/>
      <c r="P124" s="6" t="s">
        <v>27</v>
      </c>
      <c r="Q124" s="6" t="s">
        <v>255</v>
      </c>
      <c r="R124" s="4">
        <v>43933</v>
      </c>
      <c r="S124" s="6" t="s">
        <v>29</v>
      </c>
      <c r="T124" s="6" t="s">
        <v>65</v>
      </c>
    </row>
    <row r="125" spans="1:20" x14ac:dyDescent="0.35">
      <c r="A125" s="4">
        <v>43902</v>
      </c>
      <c r="B125" s="5"/>
      <c r="C125" s="5"/>
      <c r="D125" s="5"/>
      <c r="E125" s="5"/>
      <c r="F125" s="6" t="s">
        <v>57</v>
      </c>
      <c r="G125" s="6" t="s">
        <v>58</v>
      </c>
      <c r="H125" s="6" t="s">
        <v>44</v>
      </c>
      <c r="I125" s="6" t="s">
        <v>149</v>
      </c>
      <c r="J125" s="6" t="s">
        <v>150</v>
      </c>
      <c r="K125" s="6" t="s">
        <v>151</v>
      </c>
      <c r="L125" s="6" t="s">
        <v>152</v>
      </c>
      <c r="M125" s="6">
        <v>1</v>
      </c>
      <c r="N125" s="7">
        <v>11200</v>
      </c>
      <c r="O125" s="7"/>
      <c r="P125" s="6" t="s">
        <v>27</v>
      </c>
      <c r="Q125" s="6" t="s">
        <v>52</v>
      </c>
      <c r="R125" s="4">
        <v>43933</v>
      </c>
      <c r="S125" s="6" t="s">
        <v>29</v>
      </c>
      <c r="T125" s="6" t="s">
        <v>65</v>
      </c>
    </row>
    <row r="126" spans="1:20" x14ac:dyDescent="0.35">
      <c r="A126" s="4">
        <v>43902</v>
      </c>
      <c r="B126" s="5"/>
      <c r="C126" s="5"/>
      <c r="D126" s="5"/>
      <c r="E126" s="5"/>
      <c r="F126" s="6" t="s">
        <v>57</v>
      </c>
      <c r="G126" s="6" t="s">
        <v>58</v>
      </c>
      <c r="H126" s="6" t="s">
        <v>191</v>
      </c>
      <c r="I126" s="6" t="s">
        <v>192</v>
      </c>
      <c r="J126" s="6" t="s">
        <v>150</v>
      </c>
      <c r="K126" s="6" t="s">
        <v>151</v>
      </c>
      <c r="L126" s="6" t="s">
        <v>256</v>
      </c>
      <c r="M126" s="6">
        <v>1</v>
      </c>
      <c r="N126" s="7">
        <v>11150</v>
      </c>
      <c r="O126" s="7"/>
      <c r="P126" s="6" t="s">
        <v>27</v>
      </c>
      <c r="Q126" s="6" t="s">
        <v>52</v>
      </c>
      <c r="R126" s="4">
        <v>43933</v>
      </c>
      <c r="S126" s="6" t="s">
        <v>29</v>
      </c>
      <c r="T126" s="6" t="s">
        <v>65</v>
      </c>
    </row>
    <row r="127" spans="1:20" x14ac:dyDescent="0.35">
      <c r="A127" s="4">
        <v>43902</v>
      </c>
      <c r="B127" s="5"/>
      <c r="C127" s="5"/>
      <c r="D127" s="5"/>
      <c r="E127" s="5"/>
      <c r="F127" s="6" t="s">
        <v>257</v>
      </c>
      <c r="G127" s="6" t="s">
        <v>148</v>
      </c>
      <c r="H127" s="6" t="s">
        <v>240</v>
      </c>
      <c r="I127" s="6" t="s">
        <v>241</v>
      </c>
      <c r="J127" s="6" t="s">
        <v>150</v>
      </c>
      <c r="K127" s="6" t="s">
        <v>242</v>
      </c>
      <c r="L127" s="6" t="s">
        <v>258</v>
      </c>
      <c r="M127" s="6">
        <v>1</v>
      </c>
      <c r="N127" s="7">
        <v>5900</v>
      </c>
      <c r="O127" s="7"/>
      <c r="P127" s="6" t="s">
        <v>27</v>
      </c>
      <c r="Q127" s="6" t="s">
        <v>259</v>
      </c>
      <c r="R127" s="4">
        <v>43933</v>
      </c>
      <c r="S127" s="6" t="s">
        <v>29</v>
      </c>
      <c r="T127" s="6" t="s">
        <v>65</v>
      </c>
    </row>
    <row r="128" spans="1:20" x14ac:dyDescent="0.35">
      <c r="A128" s="4">
        <v>43902</v>
      </c>
      <c r="B128" s="5"/>
      <c r="C128" s="5"/>
      <c r="D128" s="5"/>
      <c r="E128" s="5"/>
      <c r="F128" s="6" t="s">
        <v>257</v>
      </c>
      <c r="G128" s="6" t="s">
        <v>148</v>
      </c>
      <c r="H128" s="6" t="s">
        <v>39</v>
      </c>
      <c r="I128" s="6" t="s">
        <v>172</v>
      </c>
      <c r="J128" s="6" t="s">
        <v>150</v>
      </c>
      <c r="K128" s="6" t="s">
        <v>166</v>
      </c>
      <c r="L128" s="6" t="s">
        <v>187</v>
      </c>
      <c r="M128" s="6">
        <v>1</v>
      </c>
      <c r="N128" s="7">
        <v>4550</v>
      </c>
      <c r="O128" s="7"/>
      <c r="P128" s="6" t="s">
        <v>27</v>
      </c>
      <c r="Q128" s="6" t="s">
        <v>259</v>
      </c>
      <c r="R128" s="4">
        <v>43933</v>
      </c>
      <c r="S128" s="6" t="s">
        <v>29</v>
      </c>
      <c r="T128" s="6" t="s">
        <v>65</v>
      </c>
    </row>
    <row r="129" spans="1:20" x14ac:dyDescent="0.35">
      <c r="A129" s="4">
        <v>43933</v>
      </c>
      <c r="B129" s="5"/>
      <c r="C129" s="5"/>
      <c r="D129" s="5"/>
      <c r="E129" s="5"/>
      <c r="F129" s="6" t="s">
        <v>260</v>
      </c>
      <c r="G129" s="6" t="s">
        <v>261</v>
      </c>
      <c r="H129" s="6" t="s">
        <v>44</v>
      </c>
      <c r="I129" s="6" t="s">
        <v>149</v>
      </c>
      <c r="J129" s="6" t="s">
        <v>150</v>
      </c>
      <c r="K129" s="6" t="s">
        <v>151</v>
      </c>
      <c r="L129" s="6" t="s">
        <v>155</v>
      </c>
      <c r="M129" s="6">
        <v>1</v>
      </c>
      <c r="N129" s="7">
        <v>9120</v>
      </c>
      <c r="O129" s="7"/>
      <c r="P129" s="6" t="s">
        <v>27</v>
      </c>
      <c r="Q129" s="6" t="s">
        <v>262</v>
      </c>
      <c r="R129" s="4">
        <v>43963</v>
      </c>
      <c r="S129" s="6" t="s">
        <v>29</v>
      </c>
      <c r="T129" s="6" t="s">
        <v>65</v>
      </c>
    </row>
    <row r="130" spans="1:20" x14ac:dyDescent="0.35">
      <c r="A130" s="4">
        <v>43933</v>
      </c>
      <c r="B130" s="5"/>
      <c r="C130" s="5"/>
      <c r="D130" s="5"/>
      <c r="E130" s="5"/>
      <c r="F130" s="6" t="s">
        <v>263</v>
      </c>
      <c r="G130" s="6" t="s">
        <v>264</v>
      </c>
      <c r="H130" s="6" t="s">
        <v>44</v>
      </c>
      <c r="I130" s="6" t="s">
        <v>149</v>
      </c>
      <c r="J130" s="6" t="s">
        <v>150</v>
      </c>
      <c r="K130" s="6" t="s">
        <v>151</v>
      </c>
      <c r="L130" s="6" t="s">
        <v>152</v>
      </c>
      <c r="M130" s="6">
        <v>1</v>
      </c>
      <c r="N130" s="7">
        <v>11200</v>
      </c>
      <c r="O130" s="7"/>
      <c r="P130" s="6" t="s">
        <v>27</v>
      </c>
      <c r="Q130" s="6" t="s">
        <v>265</v>
      </c>
      <c r="R130" s="4">
        <v>43963</v>
      </c>
      <c r="S130" s="6" t="s">
        <v>29</v>
      </c>
      <c r="T130" s="6" t="s">
        <v>65</v>
      </c>
    </row>
    <row r="131" spans="1:20" x14ac:dyDescent="0.35">
      <c r="A131" s="4">
        <v>43933</v>
      </c>
      <c r="B131" s="5"/>
      <c r="C131" s="5"/>
      <c r="D131" s="5"/>
      <c r="E131" s="5"/>
      <c r="F131" s="6" t="s">
        <v>263</v>
      </c>
      <c r="G131" s="6" t="s">
        <v>264</v>
      </c>
      <c r="H131" s="6" t="s">
        <v>44</v>
      </c>
      <c r="I131" s="6" t="s">
        <v>156</v>
      </c>
      <c r="J131" s="6" t="s">
        <v>150</v>
      </c>
      <c r="K131" s="6" t="s">
        <v>157</v>
      </c>
      <c r="L131" s="6" t="s">
        <v>158</v>
      </c>
      <c r="M131" s="6">
        <v>1</v>
      </c>
      <c r="N131" s="7">
        <v>7450</v>
      </c>
      <c r="O131" s="7"/>
      <c r="P131" s="6" t="s">
        <v>27</v>
      </c>
      <c r="Q131" s="6" t="s">
        <v>265</v>
      </c>
      <c r="R131" s="4">
        <v>43963</v>
      </c>
      <c r="S131" s="6" t="s">
        <v>29</v>
      </c>
      <c r="T131" s="6" t="s">
        <v>65</v>
      </c>
    </row>
    <row r="132" spans="1:20" x14ac:dyDescent="0.35">
      <c r="A132" s="4">
        <v>43933</v>
      </c>
      <c r="B132" s="5"/>
      <c r="C132" s="5"/>
      <c r="D132" s="5"/>
      <c r="E132" s="5"/>
      <c r="F132" s="6" t="s">
        <v>263</v>
      </c>
      <c r="G132" s="6" t="s">
        <v>264</v>
      </c>
      <c r="H132" s="6" t="s">
        <v>191</v>
      </c>
      <c r="I132" s="6" t="s">
        <v>192</v>
      </c>
      <c r="J132" s="6" t="s">
        <v>150</v>
      </c>
      <c r="K132" s="6" t="s">
        <v>151</v>
      </c>
      <c r="L132" s="6" t="s">
        <v>193</v>
      </c>
      <c r="M132" s="6">
        <v>1</v>
      </c>
      <c r="N132" s="7">
        <v>9050</v>
      </c>
      <c r="O132" s="7"/>
      <c r="P132" s="6" t="s">
        <v>27</v>
      </c>
      <c r="Q132" s="6" t="s">
        <v>265</v>
      </c>
      <c r="R132" s="4">
        <v>43963</v>
      </c>
      <c r="S132" s="6" t="s">
        <v>29</v>
      </c>
      <c r="T132" s="6" t="s">
        <v>65</v>
      </c>
    </row>
    <row r="133" spans="1:20" x14ac:dyDescent="0.35">
      <c r="A133" s="4">
        <v>43933</v>
      </c>
      <c r="B133" s="5"/>
      <c r="C133" s="5"/>
      <c r="D133" s="5"/>
      <c r="E133" s="5"/>
      <c r="F133" s="6" t="s">
        <v>119</v>
      </c>
      <c r="G133" s="6" t="s">
        <v>120</v>
      </c>
      <c r="H133" s="6" t="s">
        <v>164</v>
      </c>
      <c r="I133" s="6" t="s">
        <v>165</v>
      </c>
      <c r="J133" s="6" t="s">
        <v>150</v>
      </c>
      <c r="K133" s="6" t="s">
        <v>166</v>
      </c>
      <c r="L133" s="6" t="s">
        <v>211</v>
      </c>
      <c r="M133" s="6">
        <v>0.5</v>
      </c>
      <c r="N133" s="7">
        <v>8500</v>
      </c>
      <c r="O133" s="7"/>
      <c r="P133" s="6" t="s">
        <v>27</v>
      </c>
      <c r="Q133" s="6" t="s">
        <v>64</v>
      </c>
      <c r="R133" s="4">
        <v>43963</v>
      </c>
      <c r="S133" s="6" t="s">
        <v>29</v>
      </c>
      <c r="T133" s="6" t="s">
        <v>65</v>
      </c>
    </row>
    <row r="134" spans="1:20" x14ac:dyDescent="0.35">
      <c r="A134" s="4">
        <v>43933</v>
      </c>
      <c r="B134" s="5"/>
      <c r="C134" s="5"/>
      <c r="D134" s="5"/>
      <c r="E134" s="5"/>
      <c r="F134" s="6" t="s">
        <v>119</v>
      </c>
      <c r="G134" s="6" t="s">
        <v>120</v>
      </c>
      <c r="H134" s="6" t="s">
        <v>164</v>
      </c>
      <c r="I134" s="6" t="s">
        <v>165</v>
      </c>
      <c r="J134" s="6" t="s">
        <v>150</v>
      </c>
      <c r="K134" s="6" t="s">
        <v>166</v>
      </c>
      <c r="L134" s="6" t="s">
        <v>167</v>
      </c>
      <c r="M134" s="6">
        <v>0.5</v>
      </c>
      <c r="N134" s="7">
        <v>7800</v>
      </c>
      <c r="O134" s="7"/>
      <c r="P134" s="6" t="s">
        <v>27</v>
      </c>
      <c r="Q134" s="6" t="s">
        <v>64</v>
      </c>
      <c r="R134" s="4">
        <v>43963</v>
      </c>
      <c r="S134" s="6" t="s">
        <v>29</v>
      </c>
      <c r="T134" s="6" t="s">
        <v>65</v>
      </c>
    </row>
    <row r="135" spans="1:20" x14ac:dyDescent="0.35">
      <c r="A135" s="4">
        <v>43933</v>
      </c>
      <c r="B135" s="5"/>
      <c r="C135" s="5"/>
      <c r="D135" s="5"/>
      <c r="E135" s="5"/>
      <c r="F135" s="6" t="s">
        <v>119</v>
      </c>
      <c r="G135" s="6" t="s">
        <v>120</v>
      </c>
      <c r="H135" s="6" t="s">
        <v>168</v>
      </c>
      <c r="I135" s="6" t="s">
        <v>169</v>
      </c>
      <c r="J135" s="6" t="s">
        <v>150</v>
      </c>
      <c r="K135" s="6" t="s">
        <v>170</v>
      </c>
      <c r="L135" s="6" t="s">
        <v>185</v>
      </c>
      <c r="M135" s="6">
        <v>1</v>
      </c>
      <c r="N135" s="7">
        <v>3000</v>
      </c>
      <c r="O135" s="7"/>
      <c r="P135" s="6" t="s">
        <v>27</v>
      </c>
      <c r="Q135" s="6" t="s">
        <v>64</v>
      </c>
      <c r="R135" s="4">
        <v>43963</v>
      </c>
      <c r="S135" s="6" t="s">
        <v>29</v>
      </c>
      <c r="T135" s="6" t="s">
        <v>36</v>
      </c>
    </row>
    <row r="136" spans="1:20" x14ac:dyDescent="0.35">
      <c r="A136" s="4">
        <v>43933</v>
      </c>
      <c r="B136" s="5"/>
      <c r="C136" s="5"/>
      <c r="D136" s="5"/>
      <c r="E136" s="5"/>
      <c r="F136" s="6" t="s">
        <v>119</v>
      </c>
      <c r="G136" s="6" t="s">
        <v>120</v>
      </c>
      <c r="H136" s="6" t="s">
        <v>168</v>
      </c>
      <c r="I136" s="6" t="s">
        <v>169</v>
      </c>
      <c r="J136" s="6" t="s">
        <v>150</v>
      </c>
      <c r="K136" s="6" t="s">
        <v>170</v>
      </c>
      <c r="L136" s="6" t="s">
        <v>171</v>
      </c>
      <c r="M136" s="6">
        <v>1</v>
      </c>
      <c r="N136" s="7">
        <v>3000</v>
      </c>
      <c r="O136" s="7"/>
      <c r="P136" s="6" t="s">
        <v>27</v>
      </c>
      <c r="Q136" s="6" t="s">
        <v>64</v>
      </c>
      <c r="R136" s="4">
        <v>43963</v>
      </c>
      <c r="S136" s="6" t="s">
        <v>29</v>
      </c>
      <c r="T136" s="6" t="s">
        <v>36</v>
      </c>
    </row>
    <row r="137" spans="1:20" x14ac:dyDescent="0.35">
      <c r="A137" s="4">
        <v>43933</v>
      </c>
      <c r="B137" s="5"/>
      <c r="C137" s="5"/>
      <c r="D137" s="5"/>
      <c r="E137" s="5"/>
      <c r="F137" s="6" t="s">
        <v>59</v>
      </c>
      <c r="G137" s="6" t="s">
        <v>60</v>
      </c>
      <c r="H137" s="6" t="s">
        <v>44</v>
      </c>
      <c r="I137" s="6" t="s">
        <v>149</v>
      </c>
      <c r="J137" s="6" t="s">
        <v>150</v>
      </c>
      <c r="K137" s="6" t="s">
        <v>151</v>
      </c>
      <c r="L137" s="6" t="s">
        <v>266</v>
      </c>
      <c r="M137" s="6">
        <v>1</v>
      </c>
      <c r="N137" s="7">
        <v>13600</v>
      </c>
      <c r="O137" s="7"/>
      <c r="P137" s="6" t="s">
        <v>27</v>
      </c>
      <c r="Q137" s="6" t="s">
        <v>61</v>
      </c>
      <c r="R137" s="4">
        <v>43963</v>
      </c>
      <c r="S137" s="6" t="s">
        <v>29</v>
      </c>
      <c r="T137" s="6" t="s">
        <v>30</v>
      </c>
    </row>
    <row r="138" spans="1:20" x14ac:dyDescent="0.35">
      <c r="A138" s="4">
        <v>43933</v>
      </c>
      <c r="B138" s="5"/>
      <c r="C138" s="5"/>
      <c r="D138" s="5"/>
      <c r="E138" s="5"/>
      <c r="F138" s="6" t="s">
        <v>59</v>
      </c>
      <c r="G138" s="6" t="s">
        <v>60</v>
      </c>
      <c r="H138" s="6" t="s">
        <v>44</v>
      </c>
      <c r="I138" s="6" t="s">
        <v>149</v>
      </c>
      <c r="J138" s="6" t="s">
        <v>150</v>
      </c>
      <c r="K138" s="6" t="s">
        <v>151</v>
      </c>
      <c r="L138" s="6" t="s">
        <v>267</v>
      </c>
      <c r="M138" s="6">
        <v>1</v>
      </c>
      <c r="N138" s="7">
        <v>16500</v>
      </c>
      <c r="O138" s="7"/>
      <c r="P138" s="6" t="s">
        <v>27</v>
      </c>
      <c r="Q138" s="6" t="s">
        <v>61</v>
      </c>
      <c r="R138" s="4">
        <v>43963</v>
      </c>
      <c r="S138" s="6" t="s">
        <v>29</v>
      </c>
      <c r="T138" s="6" t="s">
        <v>30</v>
      </c>
    </row>
    <row r="139" spans="1:20" x14ac:dyDescent="0.35">
      <c r="A139" s="4">
        <v>43933</v>
      </c>
      <c r="B139" s="5"/>
      <c r="C139" s="5"/>
      <c r="D139" s="5"/>
      <c r="E139" s="5"/>
      <c r="F139" s="6" t="s">
        <v>59</v>
      </c>
      <c r="G139" s="6" t="s">
        <v>60</v>
      </c>
      <c r="H139" s="6" t="s">
        <v>39</v>
      </c>
      <c r="I139" s="6" t="s">
        <v>268</v>
      </c>
      <c r="J139" s="6" t="s">
        <v>150</v>
      </c>
      <c r="K139" s="6" t="s">
        <v>166</v>
      </c>
      <c r="L139" s="6" t="s">
        <v>269</v>
      </c>
      <c r="M139" s="6">
        <v>1</v>
      </c>
      <c r="N139" s="7">
        <v>8800</v>
      </c>
      <c r="O139" s="7"/>
      <c r="P139" s="6" t="s">
        <v>27</v>
      </c>
      <c r="Q139" s="6" t="s">
        <v>61</v>
      </c>
      <c r="R139" s="4">
        <v>43963</v>
      </c>
      <c r="S139" s="6" t="s">
        <v>29</v>
      </c>
      <c r="T139" s="6" t="s">
        <v>30</v>
      </c>
    </row>
    <row r="140" spans="1:20" x14ac:dyDescent="0.35">
      <c r="A140" s="4">
        <v>43933</v>
      </c>
      <c r="B140" s="5"/>
      <c r="C140" s="5"/>
      <c r="D140" s="5"/>
      <c r="E140" s="5"/>
      <c r="F140" s="6" t="s">
        <v>270</v>
      </c>
      <c r="G140" s="6" t="s">
        <v>271</v>
      </c>
      <c r="H140" s="6" t="s">
        <v>176</v>
      </c>
      <c r="I140" s="6" t="s">
        <v>177</v>
      </c>
      <c r="J140" s="6" t="s">
        <v>150</v>
      </c>
      <c r="K140" s="6" t="s">
        <v>157</v>
      </c>
      <c r="L140" s="6" t="s">
        <v>178</v>
      </c>
      <c r="M140" s="6">
        <v>3</v>
      </c>
      <c r="N140" s="7">
        <v>2000</v>
      </c>
      <c r="O140" s="7"/>
      <c r="P140" s="6" t="s">
        <v>27</v>
      </c>
      <c r="Q140" s="6" t="s">
        <v>272</v>
      </c>
      <c r="R140" s="4">
        <v>43963</v>
      </c>
      <c r="S140" s="6" t="s">
        <v>85</v>
      </c>
      <c r="T140" s="6" t="s">
        <v>36</v>
      </c>
    </row>
    <row r="141" spans="1:20" x14ac:dyDescent="0.35">
      <c r="A141" s="4">
        <v>43933</v>
      </c>
      <c r="B141" s="5"/>
      <c r="C141" s="5"/>
      <c r="D141" s="5"/>
      <c r="E141" s="5"/>
      <c r="F141" s="6" t="s">
        <v>273</v>
      </c>
      <c r="G141" s="6" t="s">
        <v>274</v>
      </c>
      <c r="H141" s="6" t="s">
        <v>164</v>
      </c>
      <c r="I141" s="6" t="s">
        <v>165</v>
      </c>
      <c r="J141" s="6" t="s">
        <v>150</v>
      </c>
      <c r="K141" s="6" t="s">
        <v>166</v>
      </c>
      <c r="L141" s="6" t="s">
        <v>167</v>
      </c>
      <c r="M141" s="6">
        <v>2</v>
      </c>
      <c r="N141" s="7">
        <v>7800</v>
      </c>
      <c r="O141" s="7"/>
      <c r="P141" s="6" t="s">
        <v>27</v>
      </c>
      <c r="Q141" s="6" t="s">
        <v>275</v>
      </c>
      <c r="R141" s="4">
        <v>43963</v>
      </c>
      <c r="S141" s="6" t="s">
        <v>85</v>
      </c>
      <c r="T141" s="6" t="s">
        <v>36</v>
      </c>
    </row>
    <row r="142" spans="1:20" x14ac:dyDescent="0.35">
      <c r="A142" s="4">
        <v>43933</v>
      </c>
      <c r="B142" s="5"/>
      <c r="C142" s="5"/>
      <c r="D142" s="5"/>
      <c r="E142" s="5"/>
      <c r="F142" s="6" t="s">
        <v>273</v>
      </c>
      <c r="G142" s="6" t="s">
        <v>274</v>
      </c>
      <c r="H142" s="6" t="s">
        <v>164</v>
      </c>
      <c r="I142" s="6" t="s">
        <v>165</v>
      </c>
      <c r="J142" s="6" t="s">
        <v>150</v>
      </c>
      <c r="K142" s="6" t="s">
        <v>166</v>
      </c>
      <c r="L142" s="6" t="s">
        <v>211</v>
      </c>
      <c r="M142" s="6">
        <v>2</v>
      </c>
      <c r="N142" s="7">
        <v>8500</v>
      </c>
      <c r="O142" s="7"/>
      <c r="P142" s="6" t="s">
        <v>27</v>
      </c>
      <c r="Q142" s="6" t="s">
        <v>275</v>
      </c>
      <c r="R142" s="4">
        <v>43963</v>
      </c>
      <c r="S142" s="6" t="s">
        <v>85</v>
      </c>
      <c r="T142" s="6" t="s">
        <v>36</v>
      </c>
    </row>
    <row r="143" spans="1:20" x14ac:dyDescent="0.35">
      <c r="A143" s="4">
        <v>43933</v>
      </c>
      <c r="B143" s="5"/>
      <c r="C143" s="5"/>
      <c r="D143" s="5"/>
      <c r="E143" s="5"/>
      <c r="F143" s="6" t="s">
        <v>273</v>
      </c>
      <c r="G143" s="6" t="s">
        <v>274</v>
      </c>
      <c r="H143" s="6" t="s">
        <v>176</v>
      </c>
      <c r="I143" s="6" t="s">
        <v>177</v>
      </c>
      <c r="J143" s="6" t="s">
        <v>150</v>
      </c>
      <c r="K143" s="6" t="s">
        <v>157</v>
      </c>
      <c r="L143" s="6" t="s">
        <v>178</v>
      </c>
      <c r="M143" s="6">
        <v>4</v>
      </c>
      <c r="N143" s="7">
        <v>2000</v>
      </c>
      <c r="O143" s="7"/>
      <c r="P143" s="6" t="s">
        <v>27</v>
      </c>
      <c r="Q143" s="6" t="s">
        <v>275</v>
      </c>
      <c r="R143" s="4">
        <v>43963</v>
      </c>
      <c r="S143" s="6" t="s">
        <v>85</v>
      </c>
      <c r="T143" s="6" t="s">
        <v>36</v>
      </c>
    </row>
    <row r="144" spans="1:20" x14ac:dyDescent="0.35">
      <c r="A144" s="4">
        <v>43933</v>
      </c>
      <c r="B144" s="5"/>
      <c r="C144" s="5"/>
      <c r="D144" s="5"/>
      <c r="E144" s="5"/>
      <c r="F144" s="6" t="s">
        <v>276</v>
      </c>
      <c r="G144" s="6" t="s">
        <v>21</v>
      </c>
      <c r="H144" s="6" t="s">
        <v>44</v>
      </c>
      <c r="I144" s="6" t="s">
        <v>149</v>
      </c>
      <c r="J144" s="6" t="s">
        <v>150</v>
      </c>
      <c r="K144" s="6" t="s">
        <v>151</v>
      </c>
      <c r="L144" s="6" t="s">
        <v>155</v>
      </c>
      <c r="M144" s="6">
        <v>10</v>
      </c>
      <c r="N144" s="7">
        <v>9120</v>
      </c>
      <c r="O144" s="7"/>
      <c r="P144" s="6" t="s">
        <v>27</v>
      </c>
      <c r="Q144" s="6" t="s">
        <v>28</v>
      </c>
      <c r="R144" s="4">
        <v>43963</v>
      </c>
      <c r="S144" s="6" t="s">
        <v>29</v>
      </c>
      <c r="T144" s="6" t="s">
        <v>30</v>
      </c>
    </row>
    <row r="145" spans="1:20" x14ac:dyDescent="0.35">
      <c r="A145" s="4">
        <v>43933</v>
      </c>
      <c r="B145" s="5"/>
      <c r="C145" s="5"/>
      <c r="D145" s="5"/>
      <c r="E145" s="5"/>
      <c r="F145" s="6" t="s">
        <v>277</v>
      </c>
      <c r="G145" s="6" t="s">
        <v>21</v>
      </c>
      <c r="H145" s="6" t="s">
        <v>44</v>
      </c>
      <c r="I145" s="6" t="s">
        <v>149</v>
      </c>
      <c r="J145" s="6" t="s">
        <v>150</v>
      </c>
      <c r="K145" s="6" t="s">
        <v>151</v>
      </c>
      <c r="L145" s="6" t="s">
        <v>155</v>
      </c>
      <c r="M145" s="6">
        <v>5</v>
      </c>
      <c r="N145" s="7">
        <v>9120</v>
      </c>
      <c r="O145" s="7"/>
      <c r="P145" s="6" t="s">
        <v>27</v>
      </c>
      <c r="Q145" s="6" t="s">
        <v>28</v>
      </c>
      <c r="R145" s="4">
        <v>43963</v>
      </c>
      <c r="S145" s="6" t="s">
        <v>29</v>
      </c>
      <c r="T145" s="6" t="s">
        <v>30</v>
      </c>
    </row>
    <row r="146" spans="1:20" x14ac:dyDescent="0.35">
      <c r="A146" s="4">
        <v>43902</v>
      </c>
      <c r="B146" s="5"/>
      <c r="C146" s="5"/>
      <c r="D146" s="5"/>
      <c r="E146" s="5"/>
      <c r="F146" s="6" t="s">
        <v>278</v>
      </c>
      <c r="G146" s="6" t="s">
        <v>279</v>
      </c>
      <c r="H146" s="6" t="s">
        <v>39</v>
      </c>
      <c r="I146" s="6" t="s">
        <v>268</v>
      </c>
      <c r="J146" s="6" t="s">
        <v>150</v>
      </c>
      <c r="K146" s="6" t="s">
        <v>166</v>
      </c>
      <c r="L146" s="6" t="s">
        <v>269</v>
      </c>
      <c r="M146" s="6">
        <v>1</v>
      </c>
      <c r="N146" s="7">
        <v>8800</v>
      </c>
      <c r="O146" s="7"/>
      <c r="P146" s="6" t="s">
        <v>27</v>
      </c>
      <c r="Q146" s="6" t="s">
        <v>84</v>
      </c>
      <c r="R146" s="4">
        <v>43963</v>
      </c>
      <c r="S146" s="6" t="s">
        <v>85</v>
      </c>
      <c r="T146" s="6" t="s">
        <v>36</v>
      </c>
    </row>
    <row r="147" spans="1:20" x14ac:dyDescent="0.35">
      <c r="A147" s="4">
        <v>43933</v>
      </c>
      <c r="B147" s="5"/>
      <c r="C147" s="5"/>
      <c r="D147" s="5"/>
      <c r="E147" s="5"/>
      <c r="F147" s="6" t="s">
        <v>280</v>
      </c>
      <c r="G147" s="6" t="s">
        <v>160</v>
      </c>
      <c r="H147" s="6" t="s">
        <v>191</v>
      </c>
      <c r="I147" s="6" t="s">
        <v>192</v>
      </c>
      <c r="J147" s="6" t="s">
        <v>150</v>
      </c>
      <c r="K147" s="6" t="s">
        <v>151</v>
      </c>
      <c r="L147" s="6" t="s">
        <v>193</v>
      </c>
      <c r="M147" s="6">
        <v>5</v>
      </c>
      <c r="N147" s="7">
        <v>9050</v>
      </c>
      <c r="O147" s="7"/>
      <c r="P147" s="6" t="s">
        <v>27</v>
      </c>
      <c r="Q147" s="6" t="s">
        <v>28</v>
      </c>
      <c r="R147" s="4">
        <v>43963</v>
      </c>
      <c r="S147" s="6" t="s">
        <v>29</v>
      </c>
      <c r="T147" s="6" t="s">
        <v>30</v>
      </c>
    </row>
    <row r="148" spans="1:20" x14ac:dyDescent="0.35">
      <c r="A148" s="4">
        <v>43933</v>
      </c>
      <c r="B148" s="5"/>
      <c r="C148" s="5"/>
      <c r="D148" s="5"/>
      <c r="E148" s="5"/>
      <c r="F148" s="6" t="s">
        <v>121</v>
      </c>
      <c r="G148" s="6" t="s">
        <v>122</v>
      </c>
      <c r="H148" s="6" t="s">
        <v>176</v>
      </c>
      <c r="I148" s="6" t="s">
        <v>281</v>
      </c>
      <c r="J148" s="6" t="s">
        <v>150</v>
      </c>
      <c r="K148" s="6" t="s">
        <v>282</v>
      </c>
      <c r="L148" s="6" t="s">
        <v>283</v>
      </c>
      <c r="M148" s="6">
        <v>3</v>
      </c>
      <c r="N148" s="7">
        <v>3300</v>
      </c>
      <c r="O148" s="7"/>
      <c r="P148" s="6" t="s">
        <v>27</v>
      </c>
      <c r="Q148" s="6" t="s">
        <v>123</v>
      </c>
      <c r="R148" s="4">
        <v>43963</v>
      </c>
      <c r="S148" s="6" t="s">
        <v>29</v>
      </c>
      <c r="T148" s="6" t="s">
        <v>30</v>
      </c>
    </row>
    <row r="149" spans="1:20" x14ac:dyDescent="0.35">
      <c r="A149" s="4">
        <v>43933</v>
      </c>
      <c r="B149" s="5"/>
      <c r="C149" s="5"/>
      <c r="D149" s="5"/>
      <c r="E149" s="5"/>
      <c r="F149" s="6" t="s">
        <v>121</v>
      </c>
      <c r="G149" s="6" t="s">
        <v>122</v>
      </c>
      <c r="H149" s="6" t="s">
        <v>44</v>
      </c>
      <c r="I149" s="6" t="s">
        <v>149</v>
      </c>
      <c r="J149" s="6" t="s">
        <v>150</v>
      </c>
      <c r="K149" s="6" t="s">
        <v>151</v>
      </c>
      <c r="L149" s="6" t="s">
        <v>155</v>
      </c>
      <c r="M149" s="6">
        <v>3</v>
      </c>
      <c r="N149" s="7">
        <v>9120</v>
      </c>
      <c r="O149" s="7"/>
      <c r="P149" s="6" t="s">
        <v>27</v>
      </c>
      <c r="Q149" s="6" t="s">
        <v>123</v>
      </c>
      <c r="R149" s="4">
        <v>43963</v>
      </c>
      <c r="S149" s="6" t="s">
        <v>29</v>
      </c>
      <c r="T149" s="6" t="s">
        <v>30</v>
      </c>
    </row>
    <row r="150" spans="1:20" x14ac:dyDescent="0.35">
      <c r="A150" s="4">
        <v>43933</v>
      </c>
      <c r="B150" s="5"/>
      <c r="C150" s="5"/>
      <c r="D150" s="5"/>
      <c r="E150" s="5"/>
      <c r="F150" s="6" t="s">
        <v>124</v>
      </c>
      <c r="G150" s="6" t="s">
        <v>125</v>
      </c>
      <c r="H150" s="6" t="s">
        <v>219</v>
      </c>
      <c r="I150" s="6" t="s">
        <v>220</v>
      </c>
      <c r="J150" s="6" t="s">
        <v>150</v>
      </c>
      <c r="K150" s="6" t="s">
        <v>221</v>
      </c>
      <c r="L150" s="6" t="s">
        <v>284</v>
      </c>
      <c r="M150" s="6">
        <v>1</v>
      </c>
      <c r="N150" s="7">
        <v>2780</v>
      </c>
      <c r="O150" s="7"/>
      <c r="P150" s="6" t="s">
        <v>27</v>
      </c>
      <c r="Q150" s="6" t="s">
        <v>126</v>
      </c>
      <c r="R150" s="4">
        <v>43963</v>
      </c>
      <c r="S150" s="6" t="s">
        <v>85</v>
      </c>
      <c r="T150" s="6" t="s">
        <v>36</v>
      </c>
    </row>
    <row r="151" spans="1:20" x14ac:dyDescent="0.35">
      <c r="A151" s="4">
        <v>43933</v>
      </c>
      <c r="B151" s="5"/>
      <c r="C151" s="5"/>
      <c r="D151" s="5"/>
      <c r="E151" s="5"/>
      <c r="F151" s="6" t="s">
        <v>124</v>
      </c>
      <c r="G151" s="6" t="s">
        <v>125</v>
      </c>
      <c r="H151" s="6" t="s">
        <v>44</v>
      </c>
      <c r="I151" s="6" t="s">
        <v>149</v>
      </c>
      <c r="J151" s="6" t="s">
        <v>150</v>
      </c>
      <c r="K151" s="6" t="s">
        <v>151</v>
      </c>
      <c r="L151" s="6" t="s">
        <v>152</v>
      </c>
      <c r="M151" s="6">
        <v>1</v>
      </c>
      <c r="N151" s="7">
        <v>11200</v>
      </c>
      <c r="O151" s="7"/>
      <c r="P151" s="6" t="s">
        <v>27</v>
      </c>
      <c r="Q151" s="6" t="s">
        <v>126</v>
      </c>
      <c r="R151" s="4">
        <v>43963</v>
      </c>
      <c r="S151" s="6" t="s">
        <v>85</v>
      </c>
      <c r="T151" s="6" t="s">
        <v>36</v>
      </c>
    </row>
    <row r="152" spans="1:20" x14ac:dyDescent="0.35">
      <c r="A152" s="4">
        <v>43933</v>
      </c>
      <c r="B152" s="5"/>
      <c r="C152" s="5"/>
      <c r="D152" s="5"/>
      <c r="E152" s="5"/>
      <c r="F152" s="6" t="s">
        <v>124</v>
      </c>
      <c r="G152" s="6" t="s">
        <v>125</v>
      </c>
      <c r="H152" s="6" t="s">
        <v>39</v>
      </c>
      <c r="I152" s="6" t="s">
        <v>172</v>
      </c>
      <c r="J152" s="6" t="s">
        <v>150</v>
      </c>
      <c r="K152" s="6" t="s">
        <v>166</v>
      </c>
      <c r="L152" s="6" t="s">
        <v>203</v>
      </c>
      <c r="M152" s="6">
        <v>1</v>
      </c>
      <c r="N152" s="7">
        <v>3750</v>
      </c>
      <c r="O152" s="7"/>
      <c r="P152" s="6" t="s">
        <v>27</v>
      </c>
      <c r="Q152" s="6" t="s">
        <v>126</v>
      </c>
      <c r="R152" s="4">
        <v>43963</v>
      </c>
      <c r="S152" s="6" t="s">
        <v>85</v>
      </c>
      <c r="T152" s="6" t="s">
        <v>36</v>
      </c>
    </row>
    <row r="153" spans="1:20" x14ac:dyDescent="0.35">
      <c r="A153" s="4">
        <v>43933</v>
      </c>
      <c r="B153" s="5"/>
      <c r="C153" s="5"/>
      <c r="D153" s="5"/>
      <c r="E153" s="5"/>
      <c r="F153" s="6" t="s">
        <v>62</v>
      </c>
      <c r="G153" s="6" t="s">
        <v>63</v>
      </c>
      <c r="H153" s="6" t="s">
        <v>191</v>
      </c>
      <c r="I153" s="6" t="s">
        <v>192</v>
      </c>
      <c r="J153" s="6" t="s">
        <v>150</v>
      </c>
      <c r="K153" s="6" t="s">
        <v>151</v>
      </c>
      <c r="L153" s="6" t="s">
        <v>256</v>
      </c>
      <c r="M153" s="6">
        <v>1</v>
      </c>
      <c r="N153" s="7">
        <v>11150</v>
      </c>
      <c r="O153" s="7"/>
      <c r="P153" s="6" t="s">
        <v>27</v>
      </c>
      <c r="Q153" s="6" t="s">
        <v>64</v>
      </c>
      <c r="R153" s="4">
        <v>43963</v>
      </c>
      <c r="S153" s="6" t="s">
        <v>29</v>
      </c>
      <c r="T153" s="6" t="s">
        <v>36</v>
      </c>
    </row>
    <row r="154" spans="1:20" x14ac:dyDescent="0.35">
      <c r="A154" s="4">
        <v>43933</v>
      </c>
      <c r="B154" s="5"/>
      <c r="C154" s="5"/>
      <c r="D154" s="5"/>
      <c r="E154" s="5"/>
      <c r="F154" s="6" t="s">
        <v>62</v>
      </c>
      <c r="G154" s="6" t="s">
        <v>63</v>
      </c>
      <c r="H154" s="6" t="s">
        <v>191</v>
      </c>
      <c r="I154" s="6" t="s">
        <v>192</v>
      </c>
      <c r="J154" s="6" t="s">
        <v>150</v>
      </c>
      <c r="K154" s="6" t="s">
        <v>151</v>
      </c>
      <c r="L154" s="6" t="s">
        <v>193</v>
      </c>
      <c r="M154" s="6">
        <v>1</v>
      </c>
      <c r="N154" s="7">
        <v>9050</v>
      </c>
      <c r="O154" s="7"/>
      <c r="P154" s="6" t="s">
        <v>27</v>
      </c>
      <c r="Q154" s="6" t="s">
        <v>64</v>
      </c>
      <c r="R154" s="4">
        <v>43963</v>
      </c>
      <c r="S154" s="6" t="s">
        <v>29</v>
      </c>
      <c r="T154" s="6" t="s">
        <v>36</v>
      </c>
    </row>
    <row r="155" spans="1:20" x14ac:dyDescent="0.35">
      <c r="A155" s="4">
        <v>43933</v>
      </c>
      <c r="B155" s="5"/>
      <c r="C155" s="5"/>
      <c r="D155" s="5"/>
      <c r="E155" s="5"/>
      <c r="F155" s="6" t="s">
        <v>62</v>
      </c>
      <c r="G155" s="6" t="s">
        <v>63</v>
      </c>
      <c r="H155" s="6" t="s">
        <v>200</v>
      </c>
      <c r="I155" s="6" t="s">
        <v>201</v>
      </c>
      <c r="J155" s="6" t="s">
        <v>150</v>
      </c>
      <c r="K155" s="6" t="s">
        <v>166</v>
      </c>
      <c r="L155" s="6" t="s">
        <v>285</v>
      </c>
      <c r="M155" s="6">
        <v>1</v>
      </c>
      <c r="N155" s="7">
        <v>19170</v>
      </c>
      <c r="O155" s="7"/>
      <c r="P155" s="6" t="s">
        <v>27</v>
      </c>
      <c r="Q155" s="6" t="s">
        <v>64</v>
      </c>
      <c r="R155" s="4">
        <v>43963</v>
      </c>
      <c r="S155" s="6" t="s">
        <v>29</v>
      </c>
      <c r="T155" s="6" t="s">
        <v>36</v>
      </c>
    </row>
    <row r="156" spans="1:20" x14ac:dyDescent="0.35">
      <c r="A156" s="4">
        <v>43933</v>
      </c>
      <c r="B156" s="5"/>
      <c r="C156" s="5"/>
      <c r="D156" s="5"/>
      <c r="E156" s="5"/>
      <c r="F156" s="6" t="s">
        <v>62</v>
      </c>
      <c r="G156" s="6" t="s">
        <v>63</v>
      </c>
      <c r="H156" s="6" t="s">
        <v>200</v>
      </c>
      <c r="I156" s="6" t="s">
        <v>286</v>
      </c>
      <c r="J156" s="6" t="s">
        <v>150</v>
      </c>
      <c r="K156" s="6" t="s">
        <v>166</v>
      </c>
      <c r="L156" s="6" t="s">
        <v>287</v>
      </c>
      <c r="M156" s="6">
        <v>1</v>
      </c>
      <c r="N156" s="7">
        <v>23680</v>
      </c>
      <c r="O156" s="7"/>
      <c r="P156" s="6" t="s">
        <v>27</v>
      </c>
      <c r="Q156" s="6" t="s">
        <v>64</v>
      </c>
      <c r="R156" s="4">
        <v>43963</v>
      </c>
      <c r="S156" s="6" t="s">
        <v>29</v>
      </c>
      <c r="T156" s="6" t="s">
        <v>36</v>
      </c>
    </row>
    <row r="157" spans="1:20" x14ac:dyDescent="0.35">
      <c r="A157" s="4">
        <v>43933</v>
      </c>
      <c r="B157" s="5"/>
      <c r="C157" s="5"/>
      <c r="D157" s="5"/>
      <c r="E157" s="5"/>
      <c r="F157" s="6" t="s">
        <v>62</v>
      </c>
      <c r="G157" s="6" t="s">
        <v>63</v>
      </c>
      <c r="H157" s="6" t="s">
        <v>44</v>
      </c>
      <c r="I157" s="6" t="s">
        <v>149</v>
      </c>
      <c r="J157" s="6" t="s">
        <v>150</v>
      </c>
      <c r="K157" s="6" t="s">
        <v>151</v>
      </c>
      <c r="L157" s="6" t="s">
        <v>152</v>
      </c>
      <c r="M157" s="6">
        <v>2</v>
      </c>
      <c r="N157" s="7">
        <v>11200</v>
      </c>
      <c r="O157" s="7"/>
      <c r="P157" s="6" t="s">
        <v>27</v>
      </c>
      <c r="Q157" s="6" t="s">
        <v>64</v>
      </c>
      <c r="R157" s="4">
        <v>43963</v>
      </c>
      <c r="S157" s="6" t="s">
        <v>29</v>
      </c>
      <c r="T157" s="6" t="s">
        <v>36</v>
      </c>
    </row>
    <row r="158" spans="1:20" x14ac:dyDescent="0.35">
      <c r="A158" s="4">
        <v>43933</v>
      </c>
      <c r="B158" s="5"/>
      <c r="C158" s="5"/>
      <c r="D158" s="5"/>
      <c r="E158" s="5"/>
      <c r="F158" s="6" t="s">
        <v>62</v>
      </c>
      <c r="G158" s="6" t="s">
        <v>63</v>
      </c>
      <c r="H158" s="6" t="s">
        <v>44</v>
      </c>
      <c r="I158" s="6" t="s">
        <v>156</v>
      </c>
      <c r="J158" s="6" t="s">
        <v>150</v>
      </c>
      <c r="K158" s="6" t="s">
        <v>157</v>
      </c>
      <c r="L158" s="6" t="s">
        <v>158</v>
      </c>
      <c r="M158" s="6">
        <v>1</v>
      </c>
      <c r="N158" s="7">
        <v>7450</v>
      </c>
      <c r="O158" s="7"/>
      <c r="P158" s="6" t="s">
        <v>27</v>
      </c>
      <c r="Q158" s="6" t="s">
        <v>64</v>
      </c>
      <c r="R158" s="4">
        <v>43963</v>
      </c>
      <c r="S158" s="6" t="s">
        <v>29</v>
      </c>
      <c r="T158" s="6" t="s">
        <v>65</v>
      </c>
    </row>
    <row r="159" spans="1:20" x14ac:dyDescent="0.35">
      <c r="A159" s="4">
        <v>43933</v>
      </c>
      <c r="B159" s="5"/>
      <c r="C159" s="5"/>
      <c r="D159" s="5"/>
      <c r="E159" s="5"/>
      <c r="F159" s="6" t="s">
        <v>62</v>
      </c>
      <c r="G159" s="6" t="s">
        <v>63</v>
      </c>
      <c r="H159" s="6" t="s">
        <v>44</v>
      </c>
      <c r="I159" s="6" t="s">
        <v>149</v>
      </c>
      <c r="J159" s="6" t="s">
        <v>150</v>
      </c>
      <c r="K159" s="6" t="s">
        <v>151</v>
      </c>
      <c r="L159" s="6" t="s">
        <v>266</v>
      </c>
      <c r="M159" s="6">
        <v>1</v>
      </c>
      <c r="N159" s="7">
        <v>13600</v>
      </c>
      <c r="O159" s="7"/>
      <c r="P159" s="6" t="s">
        <v>27</v>
      </c>
      <c r="Q159" s="6" t="s">
        <v>64</v>
      </c>
      <c r="R159" s="4">
        <v>43963</v>
      </c>
      <c r="S159" s="6" t="s">
        <v>29</v>
      </c>
      <c r="T159" s="6" t="s">
        <v>65</v>
      </c>
    </row>
    <row r="160" spans="1:20" x14ac:dyDescent="0.35">
      <c r="A160" s="4">
        <v>43933</v>
      </c>
      <c r="B160" s="5"/>
      <c r="C160" s="5"/>
      <c r="D160" s="5"/>
      <c r="E160" s="5"/>
      <c r="F160" s="6" t="s">
        <v>62</v>
      </c>
      <c r="G160" s="6" t="s">
        <v>63</v>
      </c>
      <c r="H160" s="6" t="s">
        <v>44</v>
      </c>
      <c r="I160" s="6" t="s">
        <v>288</v>
      </c>
      <c r="J160" s="6" t="s">
        <v>150</v>
      </c>
      <c r="K160" s="6" t="s">
        <v>289</v>
      </c>
      <c r="L160" s="6" t="s">
        <v>290</v>
      </c>
      <c r="M160" s="6">
        <v>1</v>
      </c>
      <c r="N160" s="7">
        <v>21200</v>
      </c>
      <c r="O160" s="7"/>
      <c r="P160" s="6" t="s">
        <v>27</v>
      </c>
      <c r="Q160" s="6" t="s">
        <v>64</v>
      </c>
      <c r="R160" s="4">
        <v>43963</v>
      </c>
      <c r="S160" s="6" t="s">
        <v>29</v>
      </c>
      <c r="T160" s="6" t="s">
        <v>65</v>
      </c>
    </row>
    <row r="161" spans="1:20" x14ac:dyDescent="0.35">
      <c r="A161" s="4">
        <v>43933</v>
      </c>
      <c r="B161" s="5"/>
      <c r="C161" s="5"/>
      <c r="D161" s="5"/>
      <c r="E161" s="5"/>
      <c r="F161" s="6" t="s">
        <v>62</v>
      </c>
      <c r="G161" s="6" t="s">
        <v>63</v>
      </c>
      <c r="H161" s="6" t="s">
        <v>176</v>
      </c>
      <c r="I161" s="6" t="s">
        <v>177</v>
      </c>
      <c r="J161" s="6" t="s">
        <v>150</v>
      </c>
      <c r="K161" s="6" t="s">
        <v>157</v>
      </c>
      <c r="L161" s="6" t="s">
        <v>291</v>
      </c>
      <c r="M161" s="6">
        <v>2</v>
      </c>
      <c r="N161" s="6">
        <v>700</v>
      </c>
      <c r="O161" s="7"/>
      <c r="P161" s="6" t="s">
        <v>27</v>
      </c>
      <c r="Q161" s="6" t="s">
        <v>64</v>
      </c>
      <c r="R161" s="4">
        <v>43963</v>
      </c>
      <c r="S161" s="6" t="s">
        <v>29</v>
      </c>
      <c r="T161" s="6" t="s">
        <v>65</v>
      </c>
    </row>
    <row r="162" spans="1:20" x14ac:dyDescent="0.35">
      <c r="A162" s="4">
        <v>43933</v>
      </c>
      <c r="B162" s="5"/>
      <c r="C162" s="5"/>
      <c r="D162" s="5"/>
      <c r="E162" s="5"/>
      <c r="F162" s="6" t="s">
        <v>62</v>
      </c>
      <c r="G162" s="6" t="s">
        <v>63</v>
      </c>
      <c r="H162" s="6" t="s">
        <v>176</v>
      </c>
      <c r="I162" s="6" t="s">
        <v>177</v>
      </c>
      <c r="J162" s="6" t="s">
        <v>150</v>
      </c>
      <c r="K162" s="6" t="s">
        <v>157</v>
      </c>
      <c r="L162" s="6" t="s">
        <v>292</v>
      </c>
      <c r="M162" s="6">
        <v>1</v>
      </c>
      <c r="N162" s="7">
        <v>5900</v>
      </c>
      <c r="O162" s="7"/>
      <c r="P162" s="6" t="s">
        <v>27</v>
      </c>
      <c r="Q162" s="6" t="s">
        <v>64</v>
      </c>
      <c r="R162" s="4">
        <v>43963</v>
      </c>
      <c r="S162" s="6" t="s">
        <v>29</v>
      </c>
      <c r="T162" s="6" t="s">
        <v>65</v>
      </c>
    </row>
    <row r="163" spans="1:20" x14ac:dyDescent="0.35">
      <c r="A163" s="4">
        <v>43933</v>
      </c>
      <c r="B163" s="5"/>
      <c r="C163" s="5"/>
      <c r="D163" s="5"/>
      <c r="E163" s="5"/>
      <c r="F163" s="6" t="s">
        <v>62</v>
      </c>
      <c r="G163" s="6" t="s">
        <v>63</v>
      </c>
      <c r="H163" s="6" t="s">
        <v>293</v>
      </c>
      <c r="I163" s="6" t="s">
        <v>294</v>
      </c>
      <c r="J163" s="6" t="s">
        <v>150</v>
      </c>
      <c r="K163" s="6" t="s">
        <v>157</v>
      </c>
      <c r="L163" s="6" t="s">
        <v>295</v>
      </c>
      <c r="M163" s="6">
        <v>1</v>
      </c>
      <c r="N163" s="7">
        <v>5100</v>
      </c>
      <c r="O163" s="7"/>
      <c r="P163" s="6" t="s">
        <v>27</v>
      </c>
      <c r="Q163" s="6" t="s">
        <v>64</v>
      </c>
      <c r="R163" s="4">
        <v>43963</v>
      </c>
      <c r="S163" s="6" t="s">
        <v>29</v>
      </c>
      <c r="T163" s="6" t="s">
        <v>65</v>
      </c>
    </row>
    <row r="164" spans="1:20" x14ac:dyDescent="0.35">
      <c r="A164" s="4">
        <v>43933</v>
      </c>
      <c r="B164" s="5"/>
      <c r="C164" s="5"/>
      <c r="D164" s="5"/>
      <c r="E164" s="5"/>
      <c r="F164" s="6" t="s">
        <v>66</v>
      </c>
      <c r="G164" s="6" t="s">
        <v>67</v>
      </c>
      <c r="H164" s="6" t="s">
        <v>240</v>
      </c>
      <c r="I164" s="6" t="s">
        <v>241</v>
      </c>
      <c r="J164" s="6" t="s">
        <v>150</v>
      </c>
      <c r="K164" s="6" t="s">
        <v>242</v>
      </c>
      <c r="L164" s="6" t="s">
        <v>243</v>
      </c>
      <c r="M164" s="6">
        <v>1</v>
      </c>
      <c r="N164" s="7">
        <v>14900</v>
      </c>
      <c r="O164" s="7"/>
      <c r="P164" s="6" t="s">
        <v>27</v>
      </c>
      <c r="Q164" s="6" t="s">
        <v>52</v>
      </c>
      <c r="R164" s="4">
        <v>43994</v>
      </c>
      <c r="S164" s="6" t="s">
        <v>29</v>
      </c>
      <c r="T164" s="6" t="s">
        <v>65</v>
      </c>
    </row>
    <row r="165" spans="1:20" x14ac:dyDescent="0.35">
      <c r="A165" s="4">
        <v>43933</v>
      </c>
      <c r="B165" s="5"/>
      <c r="C165" s="5"/>
      <c r="D165" s="5"/>
      <c r="E165" s="5"/>
      <c r="F165" s="6" t="s">
        <v>66</v>
      </c>
      <c r="G165" s="6" t="s">
        <v>67</v>
      </c>
      <c r="H165" s="6" t="s">
        <v>191</v>
      </c>
      <c r="I165" s="6" t="s">
        <v>192</v>
      </c>
      <c r="J165" s="6" t="s">
        <v>150</v>
      </c>
      <c r="K165" s="6" t="s">
        <v>151</v>
      </c>
      <c r="L165" s="6" t="s">
        <v>256</v>
      </c>
      <c r="M165" s="6">
        <v>3</v>
      </c>
      <c r="N165" s="7">
        <v>11150</v>
      </c>
      <c r="O165" s="7"/>
      <c r="P165" s="6" t="s">
        <v>27</v>
      </c>
      <c r="Q165" s="6" t="s">
        <v>52</v>
      </c>
      <c r="R165" s="4">
        <v>43994</v>
      </c>
      <c r="S165" s="6" t="s">
        <v>29</v>
      </c>
      <c r="T165" s="6" t="s">
        <v>65</v>
      </c>
    </row>
    <row r="166" spans="1:20" x14ac:dyDescent="0.35">
      <c r="A166" s="4">
        <v>43933</v>
      </c>
      <c r="B166" s="5"/>
      <c r="C166" s="5"/>
      <c r="D166" s="5"/>
      <c r="E166" s="5"/>
      <c r="F166" s="6" t="s">
        <v>66</v>
      </c>
      <c r="G166" s="6" t="s">
        <v>67</v>
      </c>
      <c r="H166" s="6" t="s">
        <v>191</v>
      </c>
      <c r="I166" s="6" t="s">
        <v>192</v>
      </c>
      <c r="J166" s="6" t="s">
        <v>150</v>
      </c>
      <c r="K166" s="6" t="s">
        <v>151</v>
      </c>
      <c r="L166" s="6" t="s">
        <v>193</v>
      </c>
      <c r="M166" s="6">
        <v>5</v>
      </c>
      <c r="N166" s="7">
        <v>9050</v>
      </c>
      <c r="O166" s="7"/>
      <c r="P166" s="6" t="s">
        <v>27</v>
      </c>
      <c r="Q166" s="6" t="s">
        <v>52</v>
      </c>
      <c r="R166" s="4">
        <v>43994</v>
      </c>
      <c r="S166" s="6" t="s">
        <v>29</v>
      </c>
      <c r="T166" s="6" t="s">
        <v>65</v>
      </c>
    </row>
    <row r="167" spans="1:20" x14ac:dyDescent="0.35">
      <c r="A167" s="4">
        <v>43933</v>
      </c>
      <c r="B167" s="5"/>
      <c r="C167" s="5"/>
      <c r="D167" s="5"/>
      <c r="E167" s="5"/>
      <c r="F167" s="6" t="s">
        <v>66</v>
      </c>
      <c r="G167" s="6" t="s">
        <v>67</v>
      </c>
      <c r="H167" s="6" t="s">
        <v>293</v>
      </c>
      <c r="I167" s="6" t="s">
        <v>294</v>
      </c>
      <c r="J167" s="6" t="s">
        <v>150</v>
      </c>
      <c r="K167" s="6" t="s">
        <v>157</v>
      </c>
      <c r="L167" s="6" t="s">
        <v>295</v>
      </c>
      <c r="M167" s="6">
        <v>3</v>
      </c>
      <c r="N167" s="7">
        <v>5100</v>
      </c>
      <c r="O167" s="7"/>
      <c r="P167" s="6" t="s">
        <v>27</v>
      </c>
      <c r="Q167" s="6" t="s">
        <v>52</v>
      </c>
      <c r="R167" s="4">
        <v>43994</v>
      </c>
      <c r="S167" s="6" t="s">
        <v>29</v>
      </c>
      <c r="T167" s="6" t="s">
        <v>65</v>
      </c>
    </row>
    <row r="168" spans="1:20" x14ac:dyDescent="0.35">
      <c r="A168" s="4">
        <v>43933</v>
      </c>
      <c r="B168" s="5"/>
      <c r="C168" s="5"/>
      <c r="D168" s="5"/>
      <c r="E168" s="5"/>
      <c r="F168" s="6" t="s">
        <v>66</v>
      </c>
      <c r="G168" s="6" t="s">
        <v>67</v>
      </c>
      <c r="H168" s="6" t="s">
        <v>200</v>
      </c>
      <c r="I168" s="6" t="s">
        <v>201</v>
      </c>
      <c r="J168" s="6" t="s">
        <v>150</v>
      </c>
      <c r="K168" s="6" t="s">
        <v>166</v>
      </c>
      <c r="L168" s="6" t="s">
        <v>296</v>
      </c>
      <c r="M168" s="6">
        <v>3</v>
      </c>
      <c r="N168" s="7">
        <v>11300</v>
      </c>
      <c r="O168" s="7"/>
      <c r="P168" s="6" t="s">
        <v>27</v>
      </c>
      <c r="Q168" s="6" t="s">
        <v>52</v>
      </c>
      <c r="R168" s="4">
        <v>43994</v>
      </c>
      <c r="S168" s="6" t="s">
        <v>29</v>
      </c>
      <c r="T168" s="6" t="s">
        <v>65</v>
      </c>
    </row>
    <row r="169" spans="1:20" x14ac:dyDescent="0.35">
      <c r="A169" s="4">
        <v>43933</v>
      </c>
      <c r="B169" s="5"/>
      <c r="C169" s="5"/>
      <c r="D169" s="5"/>
      <c r="E169" s="5"/>
      <c r="F169" s="6" t="s">
        <v>66</v>
      </c>
      <c r="G169" s="6" t="s">
        <v>67</v>
      </c>
      <c r="H169" s="6" t="s">
        <v>200</v>
      </c>
      <c r="I169" s="6" t="s">
        <v>201</v>
      </c>
      <c r="J169" s="6" t="s">
        <v>150</v>
      </c>
      <c r="K169" s="6" t="s">
        <v>166</v>
      </c>
      <c r="L169" s="6" t="s">
        <v>202</v>
      </c>
      <c r="M169" s="6">
        <v>5</v>
      </c>
      <c r="N169" s="7">
        <v>6500</v>
      </c>
      <c r="O169" s="7"/>
      <c r="P169" s="6" t="s">
        <v>27</v>
      </c>
      <c r="Q169" s="6" t="s">
        <v>52</v>
      </c>
      <c r="R169" s="4">
        <v>43994</v>
      </c>
      <c r="S169" s="6" t="s">
        <v>29</v>
      </c>
      <c r="T169" s="6" t="s">
        <v>36</v>
      </c>
    </row>
    <row r="170" spans="1:20" x14ac:dyDescent="0.35">
      <c r="A170" s="4">
        <v>43933</v>
      </c>
      <c r="B170" s="5"/>
      <c r="C170" s="5"/>
      <c r="D170" s="5"/>
      <c r="E170" s="5"/>
      <c r="F170" s="6" t="s">
        <v>66</v>
      </c>
      <c r="G170" s="6" t="s">
        <v>67</v>
      </c>
      <c r="H170" s="6" t="s">
        <v>200</v>
      </c>
      <c r="I170" s="6" t="s">
        <v>286</v>
      </c>
      <c r="J170" s="6" t="s">
        <v>150</v>
      </c>
      <c r="K170" s="6" t="s">
        <v>166</v>
      </c>
      <c r="L170" s="6" t="s">
        <v>297</v>
      </c>
      <c r="M170" s="6">
        <v>3</v>
      </c>
      <c r="N170" s="7">
        <v>11120</v>
      </c>
      <c r="O170" s="7"/>
      <c r="P170" s="6" t="s">
        <v>27</v>
      </c>
      <c r="Q170" s="6" t="s">
        <v>52</v>
      </c>
      <c r="R170" s="4">
        <v>43994</v>
      </c>
      <c r="S170" s="6" t="s">
        <v>29</v>
      </c>
      <c r="T170" s="6" t="s">
        <v>36</v>
      </c>
    </row>
    <row r="171" spans="1:20" x14ac:dyDescent="0.35">
      <c r="A171" s="4">
        <v>43933</v>
      </c>
      <c r="B171" s="5"/>
      <c r="C171" s="5"/>
      <c r="D171" s="5"/>
      <c r="E171" s="5"/>
      <c r="F171" s="6" t="s">
        <v>66</v>
      </c>
      <c r="G171" s="6" t="s">
        <v>67</v>
      </c>
      <c r="H171" s="6" t="s">
        <v>164</v>
      </c>
      <c r="I171" s="6" t="s">
        <v>165</v>
      </c>
      <c r="J171" s="6" t="s">
        <v>150</v>
      </c>
      <c r="K171" s="6" t="s">
        <v>166</v>
      </c>
      <c r="L171" s="6" t="s">
        <v>167</v>
      </c>
      <c r="M171" s="6">
        <v>2</v>
      </c>
      <c r="N171" s="7">
        <v>7800</v>
      </c>
      <c r="O171" s="7"/>
      <c r="P171" s="6" t="s">
        <v>27</v>
      </c>
      <c r="Q171" s="6" t="s">
        <v>52</v>
      </c>
      <c r="R171" s="4">
        <v>43994</v>
      </c>
      <c r="S171" s="6" t="s">
        <v>29</v>
      </c>
      <c r="T171" s="6" t="s">
        <v>36</v>
      </c>
    </row>
    <row r="172" spans="1:20" x14ac:dyDescent="0.35">
      <c r="A172" s="4">
        <v>43933</v>
      </c>
      <c r="B172" s="5"/>
      <c r="C172" s="5"/>
      <c r="D172" s="5"/>
      <c r="E172" s="5"/>
      <c r="F172" s="6" t="s">
        <v>66</v>
      </c>
      <c r="G172" s="6" t="s">
        <v>67</v>
      </c>
      <c r="H172" s="6" t="s">
        <v>164</v>
      </c>
      <c r="I172" s="6" t="s">
        <v>165</v>
      </c>
      <c r="J172" s="6" t="s">
        <v>150</v>
      </c>
      <c r="K172" s="6" t="s">
        <v>166</v>
      </c>
      <c r="L172" s="6" t="s">
        <v>211</v>
      </c>
      <c r="M172" s="6">
        <v>4</v>
      </c>
      <c r="N172" s="7">
        <v>8500</v>
      </c>
      <c r="O172" s="7"/>
      <c r="P172" s="6" t="s">
        <v>27</v>
      </c>
      <c r="Q172" s="6" t="s">
        <v>52</v>
      </c>
      <c r="R172" s="4">
        <v>43994</v>
      </c>
      <c r="S172" s="6" t="s">
        <v>29</v>
      </c>
      <c r="T172" s="6" t="s">
        <v>36</v>
      </c>
    </row>
    <row r="173" spans="1:20" x14ac:dyDescent="0.35">
      <c r="A173" s="4">
        <v>43933</v>
      </c>
      <c r="B173" s="5"/>
      <c r="C173" s="5"/>
      <c r="D173" s="5"/>
      <c r="E173" s="5"/>
      <c r="F173" s="6" t="s">
        <v>66</v>
      </c>
      <c r="G173" s="6" t="s">
        <v>67</v>
      </c>
      <c r="H173" s="6" t="s">
        <v>164</v>
      </c>
      <c r="I173" s="6" t="s">
        <v>165</v>
      </c>
      <c r="J173" s="6" t="s">
        <v>150</v>
      </c>
      <c r="K173" s="6" t="s">
        <v>166</v>
      </c>
      <c r="L173" s="6" t="s">
        <v>239</v>
      </c>
      <c r="M173" s="6">
        <v>3</v>
      </c>
      <c r="N173" s="7">
        <v>6350</v>
      </c>
      <c r="O173" s="7"/>
      <c r="P173" s="6" t="s">
        <v>27</v>
      </c>
      <c r="Q173" s="6" t="s">
        <v>52</v>
      </c>
      <c r="R173" s="4">
        <v>43994</v>
      </c>
      <c r="S173" s="6" t="s">
        <v>29</v>
      </c>
      <c r="T173" s="6" t="s">
        <v>36</v>
      </c>
    </row>
    <row r="174" spans="1:20" x14ac:dyDescent="0.35">
      <c r="A174" s="4">
        <v>43933</v>
      </c>
      <c r="B174" s="5"/>
      <c r="C174" s="5"/>
      <c r="D174" s="5"/>
      <c r="E174" s="5"/>
      <c r="F174" s="6" t="s">
        <v>66</v>
      </c>
      <c r="G174" s="6" t="s">
        <v>67</v>
      </c>
      <c r="H174" s="6" t="s">
        <v>164</v>
      </c>
      <c r="I174" s="6" t="s">
        <v>195</v>
      </c>
      <c r="J174" s="6" t="s">
        <v>150</v>
      </c>
      <c r="K174" s="6" t="s">
        <v>166</v>
      </c>
      <c r="L174" s="6" t="s">
        <v>196</v>
      </c>
      <c r="M174" s="6">
        <v>1</v>
      </c>
      <c r="N174" s="7">
        <v>11000</v>
      </c>
      <c r="O174" s="7"/>
      <c r="P174" s="6" t="s">
        <v>27</v>
      </c>
      <c r="Q174" s="6" t="s">
        <v>52</v>
      </c>
      <c r="R174" s="4">
        <v>43994</v>
      </c>
      <c r="S174" s="6" t="s">
        <v>29</v>
      </c>
      <c r="T174" s="6" t="s">
        <v>36</v>
      </c>
    </row>
    <row r="175" spans="1:20" x14ac:dyDescent="0.35">
      <c r="A175" s="4">
        <v>43933</v>
      </c>
      <c r="B175" s="5"/>
      <c r="C175" s="5"/>
      <c r="D175" s="5"/>
      <c r="E175" s="5"/>
      <c r="F175" s="6" t="s">
        <v>66</v>
      </c>
      <c r="G175" s="6" t="s">
        <v>67</v>
      </c>
      <c r="H175" s="6" t="s">
        <v>298</v>
      </c>
      <c r="I175" s="6" t="s">
        <v>299</v>
      </c>
      <c r="J175" s="6" t="s">
        <v>150</v>
      </c>
      <c r="K175" s="6" t="s">
        <v>282</v>
      </c>
      <c r="L175" s="6" t="s">
        <v>300</v>
      </c>
      <c r="M175" s="6">
        <v>1</v>
      </c>
      <c r="N175" s="7">
        <v>3680</v>
      </c>
      <c r="O175" s="7"/>
      <c r="P175" s="6" t="s">
        <v>27</v>
      </c>
      <c r="Q175" s="6" t="s">
        <v>52</v>
      </c>
      <c r="R175" s="4">
        <v>43994</v>
      </c>
      <c r="S175" s="6" t="s">
        <v>29</v>
      </c>
      <c r="T175" s="6" t="s">
        <v>36</v>
      </c>
    </row>
    <row r="176" spans="1:20" x14ac:dyDescent="0.35">
      <c r="A176" s="4">
        <v>43933</v>
      </c>
      <c r="B176" s="5"/>
      <c r="C176" s="5"/>
      <c r="D176" s="5"/>
      <c r="E176" s="5"/>
      <c r="F176" s="6" t="s">
        <v>66</v>
      </c>
      <c r="G176" s="6" t="s">
        <v>67</v>
      </c>
      <c r="H176" s="6" t="s">
        <v>298</v>
      </c>
      <c r="I176" s="6" t="s">
        <v>299</v>
      </c>
      <c r="J176" s="6" t="s">
        <v>150</v>
      </c>
      <c r="K176" s="6" t="s">
        <v>282</v>
      </c>
      <c r="L176" s="6" t="s">
        <v>301</v>
      </c>
      <c r="M176" s="6">
        <v>3</v>
      </c>
      <c r="N176" s="7">
        <v>1120</v>
      </c>
      <c r="O176" s="7"/>
      <c r="P176" s="6" t="s">
        <v>27</v>
      </c>
      <c r="Q176" s="6" t="s">
        <v>52</v>
      </c>
      <c r="R176" s="4">
        <v>43994</v>
      </c>
      <c r="S176" s="6" t="s">
        <v>29</v>
      </c>
      <c r="T176" s="6" t="s">
        <v>36</v>
      </c>
    </row>
    <row r="177" spans="1:20" x14ac:dyDescent="0.35">
      <c r="A177" s="4">
        <v>43933</v>
      </c>
      <c r="B177" s="5"/>
      <c r="C177" s="5"/>
      <c r="D177" s="5"/>
      <c r="E177" s="5"/>
      <c r="F177" s="6" t="s">
        <v>66</v>
      </c>
      <c r="G177" s="6" t="s">
        <v>67</v>
      </c>
      <c r="H177" s="6" t="s">
        <v>44</v>
      </c>
      <c r="I177" s="6" t="s">
        <v>149</v>
      </c>
      <c r="J177" s="6" t="s">
        <v>150</v>
      </c>
      <c r="K177" s="6" t="s">
        <v>151</v>
      </c>
      <c r="L177" s="6" t="s">
        <v>266</v>
      </c>
      <c r="M177" s="6">
        <v>3</v>
      </c>
      <c r="N177" s="7">
        <v>13600</v>
      </c>
      <c r="O177" s="7"/>
      <c r="P177" s="6" t="s">
        <v>27</v>
      </c>
      <c r="Q177" s="6" t="s">
        <v>52</v>
      </c>
      <c r="R177" s="4">
        <v>43994</v>
      </c>
      <c r="S177" s="6" t="s">
        <v>29</v>
      </c>
      <c r="T177" s="6" t="s">
        <v>36</v>
      </c>
    </row>
    <row r="178" spans="1:20" x14ac:dyDescent="0.35">
      <c r="A178" s="4">
        <v>43933</v>
      </c>
      <c r="B178" s="5"/>
      <c r="C178" s="5"/>
      <c r="D178" s="5"/>
      <c r="E178" s="5"/>
      <c r="F178" s="6" t="s">
        <v>66</v>
      </c>
      <c r="G178" s="6" t="s">
        <v>67</v>
      </c>
      <c r="H178" s="6" t="s">
        <v>44</v>
      </c>
      <c r="I178" s="6" t="s">
        <v>149</v>
      </c>
      <c r="J178" s="6" t="s">
        <v>150</v>
      </c>
      <c r="K178" s="6" t="s">
        <v>151</v>
      </c>
      <c r="L178" s="6" t="s">
        <v>152</v>
      </c>
      <c r="M178" s="6">
        <v>5</v>
      </c>
      <c r="N178" s="7">
        <v>11200</v>
      </c>
      <c r="O178" s="7"/>
      <c r="P178" s="6" t="s">
        <v>27</v>
      </c>
      <c r="Q178" s="6" t="s">
        <v>52</v>
      </c>
      <c r="R178" s="4">
        <v>43994</v>
      </c>
      <c r="S178" s="6" t="s">
        <v>29</v>
      </c>
      <c r="T178" s="6" t="s">
        <v>36</v>
      </c>
    </row>
    <row r="179" spans="1:20" x14ac:dyDescent="0.35">
      <c r="A179" s="4">
        <v>43933</v>
      </c>
      <c r="B179" s="5"/>
      <c r="C179" s="5"/>
      <c r="D179" s="5"/>
      <c r="E179" s="5"/>
      <c r="F179" s="6" t="s">
        <v>66</v>
      </c>
      <c r="G179" s="6" t="s">
        <v>67</v>
      </c>
      <c r="H179" s="6" t="s">
        <v>39</v>
      </c>
      <c r="I179" s="6" t="s">
        <v>172</v>
      </c>
      <c r="J179" s="6" t="s">
        <v>150</v>
      </c>
      <c r="K179" s="6" t="s">
        <v>166</v>
      </c>
      <c r="L179" s="6" t="s">
        <v>203</v>
      </c>
      <c r="M179" s="6">
        <v>2</v>
      </c>
      <c r="N179" s="7">
        <v>3750</v>
      </c>
      <c r="O179" s="7"/>
      <c r="P179" s="6" t="s">
        <v>27</v>
      </c>
      <c r="Q179" s="6" t="s">
        <v>52</v>
      </c>
      <c r="R179" s="4">
        <v>43994</v>
      </c>
      <c r="S179" s="6" t="s">
        <v>29</v>
      </c>
      <c r="T179" s="6" t="s">
        <v>36</v>
      </c>
    </row>
    <row r="180" spans="1:20" x14ac:dyDescent="0.35">
      <c r="A180" s="4">
        <v>43933</v>
      </c>
      <c r="B180" s="5"/>
      <c r="C180" s="5"/>
      <c r="D180" s="5"/>
      <c r="E180" s="5"/>
      <c r="F180" s="6" t="s">
        <v>66</v>
      </c>
      <c r="G180" s="6" t="s">
        <v>67</v>
      </c>
      <c r="H180" s="6" t="s">
        <v>39</v>
      </c>
      <c r="I180" s="6" t="s">
        <v>172</v>
      </c>
      <c r="J180" s="6" t="s">
        <v>150</v>
      </c>
      <c r="K180" s="6" t="s">
        <v>166</v>
      </c>
      <c r="L180" s="6" t="s">
        <v>302</v>
      </c>
      <c r="M180" s="6">
        <v>4</v>
      </c>
      <c r="N180" s="7">
        <v>8900</v>
      </c>
      <c r="O180" s="7"/>
      <c r="P180" s="6" t="s">
        <v>27</v>
      </c>
      <c r="Q180" s="6" t="s">
        <v>52</v>
      </c>
      <c r="R180" s="4">
        <v>43994</v>
      </c>
      <c r="S180" s="6" t="s">
        <v>29</v>
      </c>
      <c r="T180" s="6" t="s">
        <v>36</v>
      </c>
    </row>
    <row r="181" spans="1:20" x14ac:dyDescent="0.35">
      <c r="A181" s="4">
        <v>43933</v>
      </c>
      <c r="B181" s="5"/>
      <c r="C181" s="5"/>
      <c r="D181" s="5"/>
      <c r="E181" s="5"/>
      <c r="F181" s="6" t="s">
        <v>66</v>
      </c>
      <c r="G181" s="6" t="s">
        <v>67</v>
      </c>
      <c r="H181" s="6" t="s">
        <v>39</v>
      </c>
      <c r="I181" s="6" t="s">
        <v>268</v>
      </c>
      <c r="J181" s="6" t="s">
        <v>150</v>
      </c>
      <c r="K181" s="6" t="s">
        <v>166</v>
      </c>
      <c r="L181" s="6" t="s">
        <v>269</v>
      </c>
      <c r="M181" s="6">
        <v>3</v>
      </c>
      <c r="N181" s="7">
        <v>8800</v>
      </c>
      <c r="O181" s="7"/>
      <c r="P181" s="6" t="s">
        <v>27</v>
      </c>
      <c r="Q181" s="6" t="s">
        <v>52</v>
      </c>
      <c r="R181" s="4">
        <v>43994</v>
      </c>
      <c r="S181" s="6" t="s">
        <v>29</v>
      </c>
      <c r="T181" s="6" t="s">
        <v>36</v>
      </c>
    </row>
    <row r="182" spans="1:20" x14ac:dyDescent="0.35">
      <c r="A182" s="4">
        <v>43933</v>
      </c>
      <c r="B182" s="5"/>
      <c r="C182" s="5"/>
      <c r="D182" s="5"/>
      <c r="E182" s="5"/>
      <c r="F182" s="6" t="s">
        <v>66</v>
      </c>
      <c r="G182" s="6" t="s">
        <v>67</v>
      </c>
      <c r="H182" s="6" t="s">
        <v>176</v>
      </c>
      <c r="I182" s="6" t="s">
        <v>177</v>
      </c>
      <c r="J182" s="6" t="s">
        <v>150</v>
      </c>
      <c r="K182" s="6" t="s">
        <v>157</v>
      </c>
      <c r="L182" s="6" t="s">
        <v>291</v>
      </c>
      <c r="M182" s="6">
        <v>3</v>
      </c>
      <c r="N182" s="6">
        <v>700</v>
      </c>
      <c r="O182" s="7"/>
      <c r="P182" s="6" t="s">
        <v>27</v>
      </c>
      <c r="Q182" s="6" t="s">
        <v>52</v>
      </c>
      <c r="R182" s="4">
        <v>43994</v>
      </c>
      <c r="S182" s="6" t="s">
        <v>29</v>
      </c>
      <c r="T182" s="6" t="s">
        <v>36</v>
      </c>
    </row>
    <row r="183" spans="1:20" x14ac:dyDescent="0.35">
      <c r="A183" s="4">
        <v>43933</v>
      </c>
      <c r="B183" s="5"/>
      <c r="C183" s="5"/>
      <c r="D183" s="5"/>
      <c r="E183" s="5"/>
      <c r="F183" s="6" t="s">
        <v>66</v>
      </c>
      <c r="G183" s="6" t="s">
        <v>67</v>
      </c>
      <c r="H183" s="6" t="s">
        <v>176</v>
      </c>
      <c r="I183" s="6" t="s">
        <v>177</v>
      </c>
      <c r="J183" s="6" t="s">
        <v>150</v>
      </c>
      <c r="K183" s="6" t="s">
        <v>157</v>
      </c>
      <c r="L183" s="6" t="s">
        <v>178</v>
      </c>
      <c r="M183" s="6">
        <v>5</v>
      </c>
      <c r="N183" s="7">
        <v>2000</v>
      </c>
      <c r="O183" s="7"/>
      <c r="P183" s="6" t="s">
        <v>27</v>
      </c>
      <c r="Q183" s="6" t="s">
        <v>52</v>
      </c>
      <c r="R183" s="4">
        <v>43994</v>
      </c>
      <c r="S183" s="6" t="s">
        <v>29</v>
      </c>
      <c r="T183" s="6" t="s">
        <v>36</v>
      </c>
    </row>
    <row r="184" spans="1:20" x14ac:dyDescent="0.35">
      <c r="A184" s="4">
        <v>43933</v>
      </c>
      <c r="B184" s="5"/>
      <c r="C184" s="5"/>
      <c r="D184" s="5"/>
      <c r="E184" s="5"/>
      <c r="F184" s="6" t="s">
        <v>66</v>
      </c>
      <c r="G184" s="6" t="s">
        <v>67</v>
      </c>
      <c r="H184" s="6" t="s">
        <v>176</v>
      </c>
      <c r="I184" s="6" t="s">
        <v>281</v>
      </c>
      <c r="J184" s="6" t="s">
        <v>150</v>
      </c>
      <c r="K184" s="6" t="s">
        <v>282</v>
      </c>
      <c r="L184" s="6" t="s">
        <v>283</v>
      </c>
      <c r="M184" s="6">
        <v>1</v>
      </c>
      <c r="N184" s="7">
        <v>3300</v>
      </c>
      <c r="O184" s="7"/>
      <c r="P184" s="6" t="s">
        <v>27</v>
      </c>
      <c r="Q184" s="6" t="s">
        <v>52</v>
      </c>
      <c r="R184" s="4">
        <v>43994</v>
      </c>
      <c r="S184" s="6" t="s">
        <v>29</v>
      </c>
      <c r="T184" s="6" t="s">
        <v>36</v>
      </c>
    </row>
    <row r="185" spans="1:20" x14ac:dyDescent="0.35">
      <c r="A185" s="4">
        <v>43933</v>
      </c>
      <c r="B185" s="5"/>
      <c r="C185" s="5"/>
      <c r="D185" s="5"/>
      <c r="E185" s="5"/>
      <c r="F185" s="6" t="s">
        <v>66</v>
      </c>
      <c r="G185" s="6" t="s">
        <v>67</v>
      </c>
      <c r="H185" s="6" t="s">
        <v>168</v>
      </c>
      <c r="I185" s="6" t="s">
        <v>169</v>
      </c>
      <c r="J185" s="6" t="s">
        <v>150</v>
      </c>
      <c r="K185" s="6" t="s">
        <v>170</v>
      </c>
      <c r="L185" s="6" t="s">
        <v>171</v>
      </c>
      <c r="M185" s="6">
        <v>1</v>
      </c>
      <c r="N185" s="7">
        <v>3000</v>
      </c>
      <c r="O185" s="7"/>
      <c r="P185" s="6" t="s">
        <v>27</v>
      </c>
      <c r="Q185" s="6" t="s">
        <v>52</v>
      </c>
      <c r="R185" s="4">
        <v>43994</v>
      </c>
      <c r="S185" s="6" t="s">
        <v>29</v>
      </c>
      <c r="T185" s="6" t="s">
        <v>36</v>
      </c>
    </row>
    <row r="186" spans="1:20" x14ac:dyDescent="0.35">
      <c r="A186" s="4">
        <v>43933</v>
      </c>
      <c r="B186" s="5"/>
      <c r="C186" s="5"/>
      <c r="D186" s="5"/>
      <c r="E186" s="5"/>
      <c r="F186" s="6" t="s">
        <v>66</v>
      </c>
      <c r="G186" s="6" t="s">
        <v>67</v>
      </c>
      <c r="H186" s="6" t="s">
        <v>168</v>
      </c>
      <c r="I186" s="6" t="s">
        <v>169</v>
      </c>
      <c r="J186" s="6" t="s">
        <v>150</v>
      </c>
      <c r="K186" s="6" t="s">
        <v>170</v>
      </c>
      <c r="L186" s="6" t="s">
        <v>185</v>
      </c>
      <c r="M186" s="6">
        <v>1</v>
      </c>
      <c r="N186" s="7">
        <v>3000</v>
      </c>
      <c r="O186" s="7"/>
      <c r="P186" s="6" t="s">
        <v>27</v>
      </c>
      <c r="Q186" s="6" t="s">
        <v>52</v>
      </c>
      <c r="R186" s="4">
        <v>43994</v>
      </c>
      <c r="S186" s="6" t="s">
        <v>29</v>
      </c>
      <c r="T186" s="6" t="s">
        <v>36</v>
      </c>
    </row>
    <row r="187" spans="1:20" x14ac:dyDescent="0.35">
      <c r="A187" s="4">
        <v>43963</v>
      </c>
      <c r="B187" s="5"/>
      <c r="C187" s="5"/>
      <c r="D187" s="5"/>
      <c r="E187" s="5"/>
      <c r="F187" s="6" t="s">
        <v>303</v>
      </c>
      <c r="G187" s="6" t="s">
        <v>304</v>
      </c>
      <c r="H187" s="6" t="s">
        <v>200</v>
      </c>
      <c r="I187" s="6" t="s">
        <v>286</v>
      </c>
      <c r="J187" s="6" t="s">
        <v>150</v>
      </c>
      <c r="K187" s="6" t="s">
        <v>166</v>
      </c>
      <c r="L187" s="6" t="s">
        <v>287</v>
      </c>
      <c r="M187" s="6">
        <v>1</v>
      </c>
      <c r="N187" s="7">
        <v>23680</v>
      </c>
      <c r="O187" s="7"/>
      <c r="P187" s="6" t="s">
        <v>27</v>
      </c>
      <c r="Q187" s="6" t="s">
        <v>305</v>
      </c>
      <c r="R187" s="4">
        <v>44024</v>
      </c>
      <c r="S187" s="6" t="s">
        <v>29</v>
      </c>
      <c r="T187" s="6" t="s">
        <v>30</v>
      </c>
    </row>
    <row r="188" spans="1:20" x14ac:dyDescent="0.35">
      <c r="A188" s="4">
        <v>43963</v>
      </c>
      <c r="B188" s="5"/>
      <c r="C188" s="5"/>
      <c r="D188" s="5"/>
      <c r="E188" s="5"/>
      <c r="F188" s="6" t="s">
        <v>306</v>
      </c>
      <c r="G188" s="6" t="s">
        <v>21</v>
      </c>
      <c r="H188" s="6" t="s">
        <v>219</v>
      </c>
      <c r="I188" s="6" t="s">
        <v>220</v>
      </c>
      <c r="J188" s="6" t="s">
        <v>150</v>
      </c>
      <c r="K188" s="6" t="s">
        <v>221</v>
      </c>
      <c r="L188" s="6" t="s">
        <v>307</v>
      </c>
      <c r="M188" s="6">
        <v>50</v>
      </c>
      <c r="N188" s="7">
        <v>2080</v>
      </c>
      <c r="O188" s="7"/>
      <c r="P188" s="6" t="s">
        <v>27</v>
      </c>
      <c r="Q188" s="6" t="s">
        <v>28</v>
      </c>
      <c r="R188" s="4">
        <v>44024</v>
      </c>
      <c r="S188" s="6" t="s">
        <v>29</v>
      </c>
      <c r="T188" s="6" t="s">
        <v>30</v>
      </c>
    </row>
    <row r="189" spans="1:20" x14ac:dyDescent="0.35">
      <c r="A189" s="4">
        <v>43963</v>
      </c>
      <c r="B189" s="5"/>
      <c r="C189" s="5"/>
      <c r="D189" s="5"/>
      <c r="E189" s="5"/>
      <c r="F189" s="6" t="s">
        <v>308</v>
      </c>
      <c r="G189" s="6" t="s">
        <v>309</v>
      </c>
      <c r="H189" s="6" t="s">
        <v>219</v>
      </c>
      <c r="I189" s="6" t="s">
        <v>220</v>
      </c>
      <c r="J189" s="6" t="s">
        <v>150</v>
      </c>
      <c r="K189" s="6" t="s">
        <v>221</v>
      </c>
      <c r="L189" s="6" t="s">
        <v>307</v>
      </c>
      <c r="M189" s="6">
        <v>15</v>
      </c>
      <c r="N189" s="7">
        <v>2080</v>
      </c>
      <c r="O189" s="7"/>
      <c r="P189" s="6" t="s">
        <v>27</v>
      </c>
      <c r="Q189" s="6" t="s">
        <v>310</v>
      </c>
      <c r="R189" s="4">
        <v>44024</v>
      </c>
      <c r="S189" s="6" t="s">
        <v>29</v>
      </c>
      <c r="T189" s="6" t="s">
        <v>30</v>
      </c>
    </row>
    <row r="190" spans="1:20" x14ac:dyDescent="0.35">
      <c r="A190" s="4">
        <v>43963</v>
      </c>
      <c r="B190" s="5"/>
      <c r="C190" s="5"/>
      <c r="D190" s="5"/>
      <c r="E190" s="5"/>
      <c r="F190" s="6" t="s">
        <v>311</v>
      </c>
      <c r="G190" s="6" t="s">
        <v>312</v>
      </c>
      <c r="H190" s="6" t="s">
        <v>44</v>
      </c>
      <c r="I190" s="6" t="s">
        <v>149</v>
      </c>
      <c r="J190" s="6" t="s">
        <v>150</v>
      </c>
      <c r="K190" s="6" t="s">
        <v>151</v>
      </c>
      <c r="L190" s="6" t="s">
        <v>155</v>
      </c>
      <c r="M190" s="6">
        <v>1</v>
      </c>
      <c r="N190" s="7">
        <v>9120</v>
      </c>
      <c r="O190" s="7"/>
      <c r="P190" s="6" t="s">
        <v>27</v>
      </c>
      <c r="Q190" s="6" t="s">
        <v>238</v>
      </c>
      <c r="R190" s="4">
        <v>44024</v>
      </c>
      <c r="S190" s="6" t="s">
        <v>29</v>
      </c>
      <c r="T190" s="6" t="s">
        <v>30</v>
      </c>
    </row>
    <row r="191" spans="1:20" x14ac:dyDescent="0.35">
      <c r="A191" s="4">
        <v>43963</v>
      </c>
      <c r="B191" s="5"/>
      <c r="C191" s="5"/>
      <c r="D191" s="5"/>
      <c r="E191" s="5"/>
      <c r="F191" s="6" t="s">
        <v>313</v>
      </c>
      <c r="G191" s="6" t="s">
        <v>314</v>
      </c>
      <c r="H191" s="6" t="s">
        <v>44</v>
      </c>
      <c r="I191" s="6" t="s">
        <v>149</v>
      </c>
      <c r="J191" s="6" t="s">
        <v>150</v>
      </c>
      <c r="K191" s="6" t="s">
        <v>151</v>
      </c>
      <c r="L191" s="6" t="s">
        <v>155</v>
      </c>
      <c r="M191" s="6">
        <v>10</v>
      </c>
      <c r="N191" s="7">
        <v>9120</v>
      </c>
      <c r="O191" s="7"/>
      <c r="P191" s="6" t="s">
        <v>27</v>
      </c>
      <c r="Q191" s="6" t="s">
        <v>315</v>
      </c>
      <c r="R191" s="4">
        <v>44024</v>
      </c>
      <c r="S191" s="6" t="s">
        <v>29</v>
      </c>
      <c r="T191" s="6" t="s">
        <v>30</v>
      </c>
    </row>
    <row r="192" spans="1:20" x14ac:dyDescent="0.35">
      <c r="A192" s="4">
        <v>43994</v>
      </c>
      <c r="B192" s="5"/>
      <c r="C192" s="5"/>
      <c r="D192" s="5"/>
      <c r="E192" s="5"/>
      <c r="F192" s="6" t="s">
        <v>316</v>
      </c>
      <c r="G192" s="6" t="s">
        <v>314</v>
      </c>
      <c r="H192" s="6" t="s">
        <v>39</v>
      </c>
      <c r="I192" s="6" t="s">
        <v>172</v>
      </c>
      <c r="J192" s="6" t="s">
        <v>150</v>
      </c>
      <c r="K192" s="6" t="s">
        <v>166</v>
      </c>
      <c r="L192" s="6" t="s">
        <v>302</v>
      </c>
      <c r="M192" s="6">
        <v>4</v>
      </c>
      <c r="N192" s="7">
        <v>8900</v>
      </c>
      <c r="O192" s="7"/>
      <c r="P192" s="6" t="s">
        <v>27</v>
      </c>
      <c r="Q192" s="6" t="s">
        <v>315</v>
      </c>
      <c r="R192" s="4">
        <v>44024</v>
      </c>
      <c r="S192" s="6" t="s">
        <v>29</v>
      </c>
      <c r="T192" s="6" t="s">
        <v>30</v>
      </c>
    </row>
    <row r="193" spans="1:20" x14ac:dyDescent="0.35">
      <c r="A193" s="4">
        <v>43933</v>
      </c>
      <c r="B193" s="5"/>
      <c r="C193" s="5"/>
      <c r="D193" s="5"/>
      <c r="E193" s="5"/>
      <c r="F193" s="6" t="s">
        <v>317</v>
      </c>
      <c r="G193" s="6" t="s">
        <v>318</v>
      </c>
      <c r="H193" s="6" t="s">
        <v>44</v>
      </c>
      <c r="I193" s="6" t="s">
        <v>156</v>
      </c>
      <c r="J193" s="6" t="s">
        <v>150</v>
      </c>
      <c r="K193" s="6" t="s">
        <v>157</v>
      </c>
      <c r="L193" s="6" t="s">
        <v>158</v>
      </c>
      <c r="M193" s="6">
        <v>1</v>
      </c>
      <c r="N193" s="7">
        <v>7450</v>
      </c>
      <c r="O193" s="7"/>
      <c r="P193" s="6" t="s">
        <v>27</v>
      </c>
      <c r="Q193" s="6" t="s">
        <v>319</v>
      </c>
      <c r="R193" s="4">
        <v>44024</v>
      </c>
      <c r="S193" s="6" t="s">
        <v>29</v>
      </c>
      <c r="T193" s="6" t="s">
        <v>36</v>
      </c>
    </row>
    <row r="194" spans="1:20" x14ac:dyDescent="0.35">
      <c r="A194" s="4">
        <v>43933</v>
      </c>
      <c r="B194" s="5"/>
      <c r="C194" s="5"/>
      <c r="D194" s="5"/>
      <c r="E194" s="5"/>
      <c r="F194" s="6" t="s">
        <v>317</v>
      </c>
      <c r="G194" s="6" t="s">
        <v>318</v>
      </c>
      <c r="H194" s="6" t="s">
        <v>44</v>
      </c>
      <c r="I194" s="6" t="s">
        <v>149</v>
      </c>
      <c r="J194" s="6" t="s">
        <v>150</v>
      </c>
      <c r="K194" s="6" t="s">
        <v>151</v>
      </c>
      <c r="L194" s="6" t="s">
        <v>152</v>
      </c>
      <c r="M194" s="6">
        <v>1</v>
      </c>
      <c r="N194" s="7">
        <v>11200</v>
      </c>
      <c r="O194" s="7"/>
      <c r="P194" s="6" t="s">
        <v>27</v>
      </c>
      <c r="Q194" s="6" t="s">
        <v>319</v>
      </c>
      <c r="R194" s="4">
        <v>44024</v>
      </c>
      <c r="S194" s="6" t="s">
        <v>29</v>
      </c>
      <c r="T194" s="6" t="s">
        <v>36</v>
      </c>
    </row>
    <row r="195" spans="1:20" x14ac:dyDescent="0.35">
      <c r="A195" s="4">
        <v>43933</v>
      </c>
      <c r="B195" s="5"/>
      <c r="C195" s="5"/>
      <c r="D195" s="5"/>
      <c r="E195" s="5"/>
      <c r="F195" s="6" t="s">
        <v>317</v>
      </c>
      <c r="G195" s="6" t="s">
        <v>318</v>
      </c>
      <c r="H195" s="6" t="s">
        <v>176</v>
      </c>
      <c r="I195" s="6" t="s">
        <v>177</v>
      </c>
      <c r="J195" s="6" t="s">
        <v>150</v>
      </c>
      <c r="K195" s="6" t="s">
        <v>157</v>
      </c>
      <c r="L195" s="6" t="s">
        <v>292</v>
      </c>
      <c r="M195" s="6">
        <v>1</v>
      </c>
      <c r="N195" s="7">
        <v>5900</v>
      </c>
      <c r="O195" s="7"/>
      <c r="P195" s="6" t="s">
        <v>27</v>
      </c>
      <c r="Q195" s="6" t="s">
        <v>319</v>
      </c>
      <c r="R195" s="4">
        <v>44024</v>
      </c>
      <c r="S195" s="6" t="s">
        <v>29</v>
      </c>
      <c r="T195" s="6" t="s">
        <v>36</v>
      </c>
    </row>
    <row r="196" spans="1:20" x14ac:dyDescent="0.35">
      <c r="A196" s="4">
        <v>43933</v>
      </c>
      <c r="B196" s="5"/>
      <c r="C196" s="5"/>
      <c r="D196" s="5"/>
      <c r="E196" s="5"/>
      <c r="F196" s="6" t="s">
        <v>317</v>
      </c>
      <c r="G196" s="6" t="s">
        <v>318</v>
      </c>
      <c r="H196" s="6" t="s">
        <v>176</v>
      </c>
      <c r="I196" s="6" t="s">
        <v>177</v>
      </c>
      <c r="J196" s="6" t="s">
        <v>150</v>
      </c>
      <c r="K196" s="6" t="s">
        <v>157</v>
      </c>
      <c r="L196" s="6" t="s">
        <v>178</v>
      </c>
      <c r="M196" s="6">
        <v>1</v>
      </c>
      <c r="N196" s="7">
        <v>2000</v>
      </c>
      <c r="O196" s="7"/>
      <c r="P196" s="6" t="s">
        <v>27</v>
      </c>
      <c r="Q196" s="6" t="s">
        <v>319</v>
      </c>
      <c r="R196" s="4">
        <v>44024</v>
      </c>
      <c r="S196" s="6" t="s">
        <v>29</v>
      </c>
      <c r="T196" s="6" t="s">
        <v>36</v>
      </c>
    </row>
    <row r="197" spans="1:20" x14ac:dyDescent="0.35">
      <c r="A197" s="4">
        <v>43963</v>
      </c>
      <c r="B197" s="5"/>
      <c r="C197" s="5"/>
      <c r="D197" s="5"/>
      <c r="E197" s="5"/>
      <c r="F197" s="6" t="s">
        <v>320</v>
      </c>
      <c r="G197" s="6" t="s">
        <v>160</v>
      </c>
      <c r="H197" s="6" t="s">
        <v>176</v>
      </c>
      <c r="I197" s="6" t="s">
        <v>177</v>
      </c>
      <c r="J197" s="6" t="s">
        <v>150</v>
      </c>
      <c r="K197" s="6" t="s">
        <v>157</v>
      </c>
      <c r="L197" s="6" t="s">
        <v>178</v>
      </c>
      <c r="M197" s="6">
        <v>10</v>
      </c>
      <c r="N197" s="7">
        <v>2000</v>
      </c>
      <c r="O197" s="7"/>
      <c r="P197" s="6" t="s">
        <v>27</v>
      </c>
      <c r="Q197" s="6" t="s">
        <v>61</v>
      </c>
      <c r="R197" s="4">
        <v>44024</v>
      </c>
      <c r="S197" s="6" t="s">
        <v>29</v>
      </c>
      <c r="T197" s="6" t="s">
        <v>30</v>
      </c>
    </row>
    <row r="198" spans="1:20" x14ac:dyDescent="0.35">
      <c r="A198" s="4">
        <v>43963</v>
      </c>
      <c r="B198" s="5"/>
      <c r="C198" s="5"/>
      <c r="D198" s="5"/>
      <c r="E198" s="5"/>
      <c r="F198" s="6" t="s">
        <v>320</v>
      </c>
      <c r="G198" s="6" t="s">
        <v>160</v>
      </c>
      <c r="H198" s="6" t="s">
        <v>176</v>
      </c>
      <c r="I198" s="6" t="s">
        <v>177</v>
      </c>
      <c r="J198" s="6" t="s">
        <v>150</v>
      </c>
      <c r="K198" s="6" t="s">
        <v>157</v>
      </c>
      <c r="L198" s="6" t="s">
        <v>321</v>
      </c>
      <c r="M198" s="6">
        <v>2</v>
      </c>
      <c r="N198" s="7">
        <v>6100</v>
      </c>
      <c r="O198" s="7"/>
      <c r="P198" s="6" t="s">
        <v>27</v>
      </c>
      <c r="Q198" s="6" t="s">
        <v>61</v>
      </c>
      <c r="R198" s="4">
        <v>44024</v>
      </c>
      <c r="S198" s="6" t="s">
        <v>29</v>
      </c>
      <c r="T198" s="6" t="s">
        <v>30</v>
      </c>
    </row>
    <row r="199" spans="1:20" x14ac:dyDescent="0.35">
      <c r="A199" s="4">
        <v>43963</v>
      </c>
      <c r="B199" s="5"/>
      <c r="C199" s="5"/>
      <c r="D199" s="5"/>
      <c r="E199" s="5"/>
      <c r="F199" s="6" t="s">
        <v>320</v>
      </c>
      <c r="G199" s="6" t="s">
        <v>160</v>
      </c>
      <c r="H199" s="6" t="s">
        <v>176</v>
      </c>
      <c r="I199" s="6" t="s">
        <v>177</v>
      </c>
      <c r="J199" s="6" t="s">
        <v>150</v>
      </c>
      <c r="K199" s="6" t="s">
        <v>157</v>
      </c>
      <c r="L199" s="6" t="s">
        <v>292</v>
      </c>
      <c r="M199" s="6">
        <v>3</v>
      </c>
      <c r="N199" s="7">
        <v>5900</v>
      </c>
      <c r="O199" s="7"/>
      <c r="P199" s="6" t="s">
        <v>27</v>
      </c>
      <c r="Q199" s="6" t="s">
        <v>61</v>
      </c>
      <c r="R199" s="4">
        <v>44024</v>
      </c>
      <c r="S199" s="6" t="s">
        <v>29</v>
      </c>
      <c r="T199" s="6" t="s">
        <v>30</v>
      </c>
    </row>
    <row r="200" spans="1:20" x14ac:dyDescent="0.35">
      <c r="A200" s="4">
        <v>43994</v>
      </c>
      <c r="B200" s="5"/>
      <c r="C200" s="5"/>
      <c r="D200" s="5"/>
      <c r="E200" s="5"/>
      <c r="F200" s="6" t="s">
        <v>322</v>
      </c>
      <c r="G200" s="6" t="s">
        <v>133</v>
      </c>
      <c r="H200" s="6" t="s">
        <v>44</v>
      </c>
      <c r="I200" s="6" t="s">
        <v>149</v>
      </c>
      <c r="J200" s="6" t="s">
        <v>150</v>
      </c>
      <c r="K200" s="6" t="s">
        <v>151</v>
      </c>
      <c r="L200" s="6" t="s">
        <v>267</v>
      </c>
      <c r="M200" s="6">
        <v>1</v>
      </c>
      <c r="N200" s="7">
        <v>16500</v>
      </c>
      <c r="O200" s="7"/>
      <c r="P200" s="6" t="s">
        <v>27</v>
      </c>
      <c r="Q200" s="6" t="s">
        <v>35</v>
      </c>
      <c r="R200" s="4">
        <v>44024</v>
      </c>
      <c r="S200" s="6" t="s">
        <v>85</v>
      </c>
      <c r="T200" s="6" t="s">
        <v>30</v>
      </c>
    </row>
    <row r="201" spans="1:20" x14ac:dyDescent="0.35">
      <c r="A201" s="4">
        <v>43994</v>
      </c>
      <c r="B201" s="5"/>
      <c r="C201" s="5"/>
      <c r="D201" s="5"/>
      <c r="E201" s="5"/>
      <c r="F201" s="6" t="s">
        <v>322</v>
      </c>
      <c r="G201" s="6" t="s">
        <v>133</v>
      </c>
      <c r="H201" s="6" t="s">
        <v>293</v>
      </c>
      <c r="I201" s="6" t="s">
        <v>294</v>
      </c>
      <c r="J201" s="6" t="s">
        <v>150</v>
      </c>
      <c r="K201" s="6" t="s">
        <v>157</v>
      </c>
      <c r="L201" s="6" t="s">
        <v>295</v>
      </c>
      <c r="M201" s="6">
        <v>1</v>
      </c>
      <c r="N201" s="7">
        <v>5100</v>
      </c>
      <c r="O201" s="7"/>
      <c r="P201" s="6" t="s">
        <v>27</v>
      </c>
      <c r="Q201" s="6" t="s">
        <v>35</v>
      </c>
      <c r="R201" s="4">
        <v>44024</v>
      </c>
      <c r="S201" s="6" t="s">
        <v>85</v>
      </c>
      <c r="T201" s="6" t="s">
        <v>30</v>
      </c>
    </row>
    <row r="202" spans="1:20" x14ac:dyDescent="0.35">
      <c r="A202" s="4">
        <v>43994</v>
      </c>
      <c r="B202" s="5"/>
      <c r="C202" s="5"/>
      <c r="D202" s="5"/>
      <c r="E202" s="5"/>
      <c r="F202" s="6" t="s">
        <v>132</v>
      </c>
      <c r="G202" s="6" t="s">
        <v>133</v>
      </c>
      <c r="H202" s="6" t="s">
        <v>44</v>
      </c>
      <c r="I202" s="6" t="s">
        <v>149</v>
      </c>
      <c r="J202" s="6" t="s">
        <v>150</v>
      </c>
      <c r="K202" s="6" t="s">
        <v>151</v>
      </c>
      <c r="L202" s="6" t="s">
        <v>266</v>
      </c>
      <c r="M202" s="6">
        <v>1</v>
      </c>
      <c r="N202" s="7">
        <v>13600</v>
      </c>
      <c r="O202" s="7"/>
      <c r="P202" s="6" t="s">
        <v>27</v>
      </c>
      <c r="Q202" s="6" t="s">
        <v>35</v>
      </c>
      <c r="R202" s="4">
        <v>44024</v>
      </c>
      <c r="S202" s="6" t="s">
        <v>85</v>
      </c>
      <c r="T202" s="6" t="s">
        <v>30</v>
      </c>
    </row>
    <row r="203" spans="1:20" x14ac:dyDescent="0.35">
      <c r="A203" s="4">
        <v>43994</v>
      </c>
      <c r="B203" s="5"/>
      <c r="C203" s="5"/>
      <c r="D203" s="5"/>
      <c r="E203" s="5"/>
      <c r="F203" s="6" t="s">
        <v>132</v>
      </c>
      <c r="G203" s="6" t="s">
        <v>133</v>
      </c>
      <c r="H203" s="6" t="s">
        <v>44</v>
      </c>
      <c r="I203" s="6" t="s">
        <v>149</v>
      </c>
      <c r="J203" s="6" t="s">
        <v>150</v>
      </c>
      <c r="K203" s="6" t="s">
        <v>151</v>
      </c>
      <c r="L203" s="6" t="s">
        <v>155</v>
      </c>
      <c r="M203" s="6">
        <v>2</v>
      </c>
      <c r="N203" s="7">
        <v>9120</v>
      </c>
      <c r="O203" s="7"/>
      <c r="P203" s="6" t="s">
        <v>27</v>
      </c>
      <c r="Q203" s="6" t="s">
        <v>35</v>
      </c>
      <c r="R203" s="4">
        <v>44024</v>
      </c>
      <c r="S203" s="6" t="s">
        <v>85</v>
      </c>
      <c r="T203" s="6" t="s">
        <v>30</v>
      </c>
    </row>
    <row r="204" spans="1:20" x14ac:dyDescent="0.35">
      <c r="A204" s="4">
        <v>43963</v>
      </c>
      <c r="B204" s="5"/>
      <c r="C204" s="5"/>
      <c r="D204" s="5"/>
      <c r="E204" s="5"/>
      <c r="F204" s="6" t="s">
        <v>323</v>
      </c>
      <c r="G204" s="6" t="s">
        <v>324</v>
      </c>
      <c r="H204" s="6" t="s">
        <v>164</v>
      </c>
      <c r="I204" s="6" t="s">
        <v>165</v>
      </c>
      <c r="J204" s="6" t="s">
        <v>150</v>
      </c>
      <c r="K204" s="6" t="s">
        <v>166</v>
      </c>
      <c r="L204" s="6" t="s">
        <v>167</v>
      </c>
      <c r="M204" s="6">
        <v>1</v>
      </c>
      <c r="N204" s="7">
        <v>7800</v>
      </c>
      <c r="O204" s="7"/>
      <c r="P204" s="6" t="s">
        <v>27</v>
      </c>
      <c r="Q204" s="6" t="s">
        <v>325</v>
      </c>
      <c r="R204" s="4">
        <v>44024</v>
      </c>
      <c r="S204" s="6" t="s">
        <v>29</v>
      </c>
      <c r="T204" s="6" t="s">
        <v>36</v>
      </c>
    </row>
    <row r="205" spans="1:20" x14ac:dyDescent="0.35">
      <c r="A205" s="4">
        <v>43963</v>
      </c>
      <c r="B205" s="5"/>
      <c r="C205" s="5"/>
      <c r="D205" s="5"/>
      <c r="E205" s="5"/>
      <c r="F205" s="6" t="s">
        <v>323</v>
      </c>
      <c r="G205" s="6" t="s">
        <v>324</v>
      </c>
      <c r="H205" s="6" t="s">
        <v>44</v>
      </c>
      <c r="I205" s="6" t="s">
        <v>149</v>
      </c>
      <c r="J205" s="6" t="s">
        <v>150</v>
      </c>
      <c r="K205" s="6" t="s">
        <v>151</v>
      </c>
      <c r="L205" s="6" t="s">
        <v>152</v>
      </c>
      <c r="M205" s="6">
        <v>1</v>
      </c>
      <c r="N205" s="7">
        <v>11200</v>
      </c>
      <c r="O205" s="7"/>
      <c r="P205" s="6" t="s">
        <v>27</v>
      </c>
      <c r="Q205" s="6" t="s">
        <v>325</v>
      </c>
      <c r="R205" s="4">
        <v>44024</v>
      </c>
      <c r="S205" s="6" t="s">
        <v>29</v>
      </c>
      <c r="T205" s="6" t="s">
        <v>36</v>
      </c>
    </row>
    <row r="206" spans="1:20" x14ac:dyDescent="0.35">
      <c r="A206" s="4">
        <v>43963</v>
      </c>
      <c r="B206" s="5"/>
      <c r="C206" s="5"/>
      <c r="D206" s="5"/>
      <c r="E206" s="5"/>
      <c r="F206" s="6" t="s">
        <v>323</v>
      </c>
      <c r="G206" s="6" t="s">
        <v>324</v>
      </c>
      <c r="H206" s="6" t="s">
        <v>176</v>
      </c>
      <c r="I206" s="6" t="s">
        <v>177</v>
      </c>
      <c r="J206" s="6" t="s">
        <v>150</v>
      </c>
      <c r="K206" s="6" t="s">
        <v>157</v>
      </c>
      <c r="L206" s="6" t="s">
        <v>178</v>
      </c>
      <c r="M206" s="6">
        <v>2</v>
      </c>
      <c r="N206" s="7">
        <v>2000</v>
      </c>
      <c r="O206" s="7"/>
      <c r="P206" s="6" t="s">
        <v>27</v>
      </c>
      <c r="Q206" s="6" t="s">
        <v>325</v>
      </c>
      <c r="R206" s="4">
        <v>44024</v>
      </c>
      <c r="S206" s="6" t="s">
        <v>29</v>
      </c>
      <c r="T206" s="6" t="s">
        <v>36</v>
      </c>
    </row>
    <row r="207" spans="1:20" x14ac:dyDescent="0.35">
      <c r="A207" s="4">
        <v>43933</v>
      </c>
      <c r="B207" s="5"/>
      <c r="C207" s="5"/>
      <c r="D207" s="5"/>
      <c r="E207" s="5"/>
      <c r="F207" s="6" t="s">
        <v>326</v>
      </c>
      <c r="G207" s="6" t="s">
        <v>142</v>
      </c>
      <c r="H207" s="6" t="s">
        <v>44</v>
      </c>
      <c r="I207" s="6" t="s">
        <v>149</v>
      </c>
      <c r="J207" s="6" t="s">
        <v>150</v>
      </c>
      <c r="K207" s="6" t="s">
        <v>151</v>
      </c>
      <c r="L207" s="6" t="s">
        <v>155</v>
      </c>
      <c r="M207" s="6">
        <v>10</v>
      </c>
      <c r="N207" s="7">
        <v>9120</v>
      </c>
      <c r="O207" s="7"/>
      <c r="P207" s="6" t="s">
        <v>27</v>
      </c>
      <c r="Q207" s="6" t="s">
        <v>327</v>
      </c>
      <c r="R207" s="4">
        <v>44024</v>
      </c>
      <c r="S207" s="6" t="s">
        <v>85</v>
      </c>
      <c r="T207" s="6" t="s">
        <v>30</v>
      </c>
    </row>
    <row r="208" spans="1:20" x14ac:dyDescent="0.35">
      <c r="A208" s="4">
        <v>43963</v>
      </c>
      <c r="B208" s="5"/>
      <c r="C208" s="5"/>
      <c r="D208" s="5"/>
      <c r="E208" s="5"/>
      <c r="F208" s="6" t="s">
        <v>71</v>
      </c>
      <c r="G208" s="6" t="s">
        <v>72</v>
      </c>
      <c r="H208" s="6" t="s">
        <v>219</v>
      </c>
      <c r="I208" s="6" t="s">
        <v>220</v>
      </c>
      <c r="J208" s="6" t="s">
        <v>150</v>
      </c>
      <c r="K208" s="6" t="s">
        <v>221</v>
      </c>
      <c r="L208" s="6" t="s">
        <v>328</v>
      </c>
      <c r="M208" s="6">
        <v>3</v>
      </c>
      <c r="N208" s="7">
        <v>3180</v>
      </c>
      <c r="O208" s="7"/>
      <c r="P208" s="6" t="s">
        <v>27</v>
      </c>
      <c r="Q208" s="6" t="s">
        <v>73</v>
      </c>
      <c r="R208" s="4">
        <v>44055</v>
      </c>
      <c r="S208" s="6" t="s">
        <v>29</v>
      </c>
      <c r="T208" s="6" t="s">
        <v>36</v>
      </c>
    </row>
    <row r="209" spans="1:20" x14ac:dyDescent="0.35">
      <c r="A209" s="4">
        <v>43963</v>
      </c>
      <c r="B209" s="5"/>
      <c r="C209" s="5"/>
      <c r="D209" s="5"/>
      <c r="E209" s="5"/>
      <c r="F209" s="6" t="s">
        <v>71</v>
      </c>
      <c r="G209" s="6" t="s">
        <v>72</v>
      </c>
      <c r="H209" s="6" t="s">
        <v>200</v>
      </c>
      <c r="I209" s="6" t="s">
        <v>201</v>
      </c>
      <c r="J209" s="6" t="s">
        <v>150</v>
      </c>
      <c r="K209" s="6" t="s">
        <v>166</v>
      </c>
      <c r="L209" s="6" t="s">
        <v>202</v>
      </c>
      <c r="M209" s="6">
        <v>1</v>
      </c>
      <c r="N209" s="7">
        <v>6500</v>
      </c>
      <c r="O209" s="7"/>
      <c r="P209" s="6" t="s">
        <v>27</v>
      </c>
      <c r="Q209" s="6" t="s">
        <v>73</v>
      </c>
      <c r="R209" s="4">
        <v>44055</v>
      </c>
      <c r="S209" s="6" t="s">
        <v>29</v>
      </c>
      <c r="T209" s="6" t="s">
        <v>36</v>
      </c>
    </row>
    <row r="210" spans="1:20" x14ac:dyDescent="0.35">
      <c r="A210" s="4">
        <v>44024</v>
      </c>
      <c r="B210" s="5"/>
      <c r="C210" s="5"/>
      <c r="D210" s="5"/>
      <c r="E210" s="5"/>
      <c r="F210" s="6" t="s">
        <v>329</v>
      </c>
      <c r="G210" s="6" t="s">
        <v>330</v>
      </c>
      <c r="H210" s="6" t="s">
        <v>44</v>
      </c>
      <c r="I210" s="6" t="s">
        <v>149</v>
      </c>
      <c r="J210" s="6" t="s">
        <v>150</v>
      </c>
      <c r="K210" s="6" t="s">
        <v>151</v>
      </c>
      <c r="L210" s="6" t="s">
        <v>155</v>
      </c>
      <c r="M210" s="6">
        <v>4</v>
      </c>
      <c r="N210" s="7">
        <v>9120</v>
      </c>
      <c r="O210" s="7"/>
      <c r="P210" s="6" t="s">
        <v>27</v>
      </c>
      <c r="Q210" s="6" t="s">
        <v>331</v>
      </c>
      <c r="R210" s="4">
        <v>44055</v>
      </c>
      <c r="S210" s="6" t="s">
        <v>29</v>
      </c>
      <c r="T210" s="6" t="s">
        <v>36</v>
      </c>
    </row>
    <row r="211" spans="1:20" x14ac:dyDescent="0.35">
      <c r="A211" s="4">
        <v>44024</v>
      </c>
      <c r="B211" s="5"/>
      <c r="C211" s="5"/>
      <c r="D211" s="5"/>
      <c r="E211" s="5"/>
      <c r="F211" s="6" t="s">
        <v>332</v>
      </c>
      <c r="G211" s="6" t="s">
        <v>330</v>
      </c>
      <c r="H211" s="6" t="s">
        <v>200</v>
      </c>
      <c r="I211" s="6" t="s">
        <v>201</v>
      </c>
      <c r="J211" s="6" t="s">
        <v>150</v>
      </c>
      <c r="K211" s="6" t="s">
        <v>166</v>
      </c>
      <c r="L211" s="6" t="s">
        <v>206</v>
      </c>
      <c r="M211" s="6">
        <v>3</v>
      </c>
      <c r="N211" s="7">
        <v>6750</v>
      </c>
      <c r="O211" s="7"/>
      <c r="P211" s="6" t="s">
        <v>27</v>
      </c>
      <c r="Q211" s="6" t="s">
        <v>331</v>
      </c>
      <c r="R211" s="4">
        <v>44055</v>
      </c>
      <c r="S211" s="6" t="s">
        <v>29</v>
      </c>
      <c r="T211" s="6" t="s">
        <v>36</v>
      </c>
    </row>
    <row r="212" spans="1:20" x14ac:dyDescent="0.35">
      <c r="A212" s="4">
        <v>44024</v>
      </c>
      <c r="B212" s="5"/>
      <c r="C212" s="5"/>
      <c r="D212" s="5"/>
      <c r="E212" s="5"/>
      <c r="F212" s="6" t="s">
        <v>134</v>
      </c>
      <c r="G212" s="6" t="s">
        <v>135</v>
      </c>
      <c r="H212" s="6" t="s">
        <v>164</v>
      </c>
      <c r="I212" s="6" t="s">
        <v>165</v>
      </c>
      <c r="J212" s="6" t="s">
        <v>150</v>
      </c>
      <c r="K212" s="6" t="s">
        <v>166</v>
      </c>
      <c r="L212" s="6" t="s">
        <v>167</v>
      </c>
      <c r="M212" s="6">
        <v>1</v>
      </c>
      <c r="N212" s="7">
        <v>7800</v>
      </c>
      <c r="O212" s="7"/>
      <c r="P212" s="6" t="s">
        <v>27</v>
      </c>
      <c r="Q212" s="6" t="s">
        <v>136</v>
      </c>
      <c r="R212" s="4">
        <v>44055</v>
      </c>
      <c r="S212" s="6" t="s">
        <v>29</v>
      </c>
      <c r="T212" s="6" t="s">
        <v>36</v>
      </c>
    </row>
    <row r="213" spans="1:20" x14ac:dyDescent="0.35">
      <c r="A213" s="4">
        <v>44024</v>
      </c>
      <c r="B213" s="5"/>
      <c r="C213" s="5"/>
      <c r="D213" s="5"/>
      <c r="E213" s="5"/>
      <c r="F213" s="6" t="s">
        <v>134</v>
      </c>
      <c r="G213" s="6" t="s">
        <v>135</v>
      </c>
      <c r="H213" s="6" t="s">
        <v>164</v>
      </c>
      <c r="I213" s="6" t="s">
        <v>165</v>
      </c>
      <c r="J213" s="6" t="s">
        <v>150</v>
      </c>
      <c r="K213" s="6" t="s">
        <v>166</v>
      </c>
      <c r="L213" s="6" t="s">
        <v>211</v>
      </c>
      <c r="M213" s="6">
        <v>1</v>
      </c>
      <c r="N213" s="7">
        <v>8500</v>
      </c>
      <c r="O213" s="7"/>
      <c r="P213" s="6" t="s">
        <v>27</v>
      </c>
      <c r="Q213" s="6" t="s">
        <v>136</v>
      </c>
      <c r="R213" s="4">
        <v>44055</v>
      </c>
      <c r="S213" s="6" t="s">
        <v>29</v>
      </c>
      <c r="T213" s="6" t="s">
        <v>36</v>
      </c>
    </row>
    <row r="214" spans="1:20" x14ac:dyDescent="0.35">
      <c r="A214" s="4">
        <v>44024</v>
      </c>
      <c r="B214" s="5"/>
      <c r="C214" s="5"/>
      <c r="D214" s="5"/>
      <c r="E214" s="5"/>
      <c r="F214" s="6" t="s">
        <v>134</v>
      </c>
      <c r="G214" s="6" t="s">
        <v>135</v>
      </c>
      <c r="H214" s="6" t="s">
        <v>44</v>
      </c>
      <c r="I214" s="6" t="s">
        <v>149</v>
      </c>
      <c r="J214" s="6" t="s">
        <v>150</v>
      </c>
      <c r="K214" s="6" t="s">
        <v>151</v>
      </c>
      <c r="L214" s="6" t="s">
        <v>155</v>
      </c>
      <c r="M214" s="6">
        <v>1</v>
      </c>
      <c r="N214" s="7">
        <v>9120</v>
      </c>
      <c r="O214" s="7"/>
      <c r="P214" s="6" t="s">
        <v>27</v>
      </c>
      <c r="Q214" s="6" t="s">
        <v>136</v>
      </c>
      <c r="R214" s="4">
        <v>44055</v>
      </c>
      <c r="S214" s="6" t="s">
        <v>29</v>
      </c>
      <c r="T214" s="6" t="s">
        <v>65</v>
      </c>
    </row>
    <row r="215" spans="1:20" x14ac:dyDescent="0.35">
      <c r="A215" s="4">
        <v>44024</v>
      </c>
      <c r="B215" s="5"/>
      <c r="C215" s="5"/>
      <c r="D215" s="5"/>
      <c r="E215" s="5"/>
      <c r="F215" s="6" t="s">
        <v>333</v>
      </c>
      <c r="G215" s="6" t="s">
        <v>334</v>
      </c>
      <c r="H215" s="6" t="s">
        <v>44</v>
      </c>
      <c r="I215" s="6" t="s">
        <v>149</v>
      </c>
      <c r="J215" s="6" t="s">
        <v>150</v>
      </c>
      <c r="K215" s="6" t="s">
        <v>151</v>
      </c>
      <c r="L215" s="6" t="s">
        <v>155</v>
      </c>
      <c r="M215" s="6">
        <v>1</v>
      </c>
      <c r="N215" s="7">
        <v>9120</v>
      </c>
      <c r="O215" s="7"/>
      <c r="P215" s="6" t="s">
        <v>27</v>
      </c>
      <c r="Q215" s="6" t="s">
        <v>331</v>
      </c>
      <c r="R215" s="4">
        <v>44055</v>
      </c>
      <c r="S215" s="6" t="s">
        <v>29</v>
      </c>
      <c r="T215" s="6" t="s">
        <v>65</v>
      </c>
    </row>
    <row r="216" spans="1:20" x14ac:dyDescent="0.35">
      <c r="A216" s="4">
        <v>44024</v>
      </c>
      <c r="B216" s="5"/>
      <c r="C216" s="5"/>
      <c r="D216" s="5"/>
      <c r="E216" s="5"/>
      <c r="F216" s="6" t="s">
        <v>335</v>
      </c>
      <c r="G216" s="6" t="s">
        <v>336</v>
      </c>
      <c r="H216" s="6" t="s">
        <v>44</v>
      </c>
      <c r="I216" s="6" t="s">
        <v>156</v>
      </c>
      <c r="J216" s="6" t="s">
        <v>150</v>
      </c>
      <c r="K216" s="6" t="s">
        <v>157</v>
      </c>
      <c r="L216" s="6" t="s">
        <v>337</v>
      </c>
      <c r="M216" s="6">
        <v>2</v>
      </c>
      <c r="N216" s="7">
        <v>7450</v>
      </c>
      <c r="O216" s="7"/>
      <c r="P216" s="6" t="s">
        <v>27</v>
      </c>
      <c r="Q216" s="6" t="s">
        <v>272</v>
      </c>
      <c r="R216" s="4">
        <v>44055</v>
      </c>
      <c r="S216" s="6" t="s">
        <v>29</v>
      </c>
      <c r="T216" s="6" t="s">
        <v>65</v>
      </c>
    </row>
    <row r="217" spans="1:20" x14ac:dyDescent="0.35">
      <c r="A217" s="4">
        <v>44024</v>
      </c>
      <c r="B217" s="5"/>
      <c r="C217" s="5"/>
      <c r="D217" s="5"/>
      <c r="E217" s="5"/>
      <c r="F217" s="6" t="s">
        <v>335</v>
      </c>
      <c r="G217" s="6" t="s">
        <v>336</v>
      </c>
      <c r="H217" s="6" t="s">
        <v>44</v>
      </c>
      <c r="I217" s="6" t="s">
        <v>156</v>
      </c>
      <c r="J217" s="6" t="s">
        <v>150</v>
      </c>
      <c r="K217" s="6" t="s">
        <v>157</v>
      </c>
      <c r="L217" s="6" t="s">
        <v>158</v>
      </c>
      <c r="M217" s="6">
        <v>2</v>
      </c>
      <c r="N217" s="7">
        <v>7450</v>
      </c>
      <c r="O217" s="7"/>
      <c r="P217" s="6" t="s">
        <v>27</v>
      </c>
      <c r="Q217" s="6" t="s">
        <v>272</v>
      </c>
      <c r="R217" s="4">
        <v>44055</v>
      </c>
      <c r="S217" s="6" t="s">
        <v>29</v>
      </c>
      <c r="T217" s="6" t="s">
        <v>65</v>
      </c>
    </row>
    <row r="218" spans="1:20" x14ac:dyDescent="0.35">
      <c r="A218" s="4">
        <v>44024</v>
      </c>
      <c r="B218" s="5"/>
      <c r="C218" s="5"/>
      <c r="D218" s="5"/>
      <c r="E218" s="5"/>
      <c r="F218" s="6" t="s">
        <v>335</v>
      </c>
      <c r="G218" s="6" t="s">
        <v>336</v>
      </c>
      <c r="H218" s="6" t="s">
        <v>44</v>
      </c>
      <c r="I218" s="6" t="s">
        <v>149</v>
      </c>
      <c r="J218" s="6" t="s">
        <v>150</v>
      </c>
      <c r="K218" s="6" t="s">
        <v>151</v>
      </c>
      <c r="L218" s="6" t="s">
        <v>155</v>
      </c>
      <c r="M218" s="6">
        <v>2</v>
      </c>
      <c r="N218" s="7">
        <v>9120</v>
      </c>
      <c r="O218" s="7"/>
      <c r="P218" s="6" t="s">
        <v>27</v>
      </c>
      <c r="Q218" s="6" t="s">
        <v>272</v>
      </c>
      <c r="R218" s="4">
        <v>44055</v>
      </c>
      <c r="S218" s="6" t="s">
        <v>29</v>
      </c>
      <c r="T218" s="6" t="s">
        <v>65</v>
      </c>
    </row>
    <row r="219" spans="1:20" x14ac:dyDescent="0.35">
      <c r="A219" s="4">
        <v>44024</v>
      </c>
      <c r="B219" s="5"/>
      <c r="C219" s="5"/>
      <c r="D219" s="5"/>
      <c r="E219" s="5"/>
      <c r="F219" s="6" t="s">
        <v>335</v>
      </c>
      <c r="G219" s="6" t="s">
        <v>336</v>
      </c>
      <c r="H219" s="6" t="s">
        <v>39</v>
      </c>
      <c r="I219" s="6" t="s">
        <v>172</v>
      </c>
      <c r="J219" s="6" t="s">
        <v>150</v>
      </c>
      <c r="K219" s="6" t="s">
        <v>166</v>
      </c>
      <c r="L219" s="6" t="s">
        <v>302</v>
      </c>
      <c r="M219" s="6">
        <v>1</v>
      </c>
      <c r="N219" s="7">
        <v>8900</v>
      </c>
      <c r="O219" s="7"/>
      <c r="P219" s="6" t="s">
        <v>27</v>
      </c>
      <c r="Q219" s="6" t="s">
        <v>272</v>
      </c>
      <c r="R219" s="4">
        <v>44055</v>
      </c>
      <c r="S219" s="6" t="s">
        <v>29</v>
      </c>
      <c r="T219" s="6" t="s">
        <v>65</v>
      </c>
    </row>
    <row r="220" spans="1:20" x14ac:dyDescent="0.35">
      <c r="A220" s="4">
        <v>44024</v>
      </c>
      <c r="B220" s="5"/>
      <c r="C220" s="5"/>
      <c r="D220" s="5"/>
      <c r="E220" s="5"/>
      <c r="F220" s="6" t="s">
        <v>338</v>
      </c>
      <c r="G220" s="6" t="s">
        <v>339</v>
      </c>
      <c r="H220" s="6" t="s">
        <v>340</v>
      </c>
      <c r="I220" s="6" t="s">
        <v>341</v>
      </c>
      <c r="J220" s="6" t="s">
        <v>150</v>
      </c>
      <c r="K220" s="6" t="s">
        <v>242</v>
      </c>
      <c r="L220" s="6" t="s">
        <v>342</v>
      </c>
      <c r="M220" s="6">
        <v>1</v>
      </c>
      <c r="N220" s="7">
        <v>1500</v>
      </c>
      <c r="O220" s="7"/>
      <c r="P220" s="6" t="s">
        <v>27</v>
      </c>
      <c r="Q220" s="6" t="s">
        <v>343</v>
      </c>
      <c r="R220" s="4">
        <v>44055</v>
      </c>
      <c r="S220" s="6" t="s">
        <v>29</v>
      </c>
      <c r="T220" s="6" t="s">
        <v>65</v>
      </c>
    </row>
    <row r="221" spans="1:20" x14ac:dyDescent="0.35">
      <c r="A221" s="4">
        <v>44024</v>
      </c>
      <c r="B221" s="5"/>
      <c r="C221" s="5"/>
      <c r="D221" s="5"/>
      <c r="E221" s="5"/>
      <c r="F221" s="6" t="s">
        <v>338</v>
      </c>
      <c r="G221" s="6" t="s">
        <v>339</v>
      </c>
      <c r="H221" s="6" t="s">
        <v>340</v>
      </c>
      <c r="I221" s="6" t="s">
        <v>341</v>
      </c>
      <c r="J221" s="6" t="s">
        <v>150</v>
      </c>
      <c r="K221" s="6" t="s">
        <v>242</v>
      </c>
      <c r="L221" s="6" t="s">
        <v>344</v>
      </c>
      <c r="M221" s="6">
        <v>1</v>
      </c>
      <c r="N221" s="6">
        <v>1</v>
      </c>
      <c r="O221" s="7"/>
      <c r="P221" s="6" t="s">
        <v>27</v>
      </c>
      <c r="Q221" s="6" t="s">
        <v>343</v>
      </c>
      <c r="R221" s="4">
        <v>44055</v>
      </c>
      <c r="S221" s="6" t="s">
        <v>29</v>
      </c>
      <c r="T221" s="6" t="s">
        <v>65</v>
      </c>
    </row>
    <row r="222" spans="1:20" x14ac:dyDescent="0.35">
      <c r="A222" s="4">
        <v>44024</v>
      </c>
      <c r="B222" s="5"/>
      <c r="C222" s="5"/>
      <c r="D222" s="5"/>
      <c r="E222" s="5"/>
      <c r="F222" s="6" t="s">
        <v>345</v>
      </c>
      <c r="G222" s="6" t="s">
        <v>346</v>
      </c>
      <c r="H222" s="6" t="s">
        <v>340</v>
      </c>
      <c r="I222" s="6" t="s">
        <v>341</v>
      </c>
      <c r="J222" s="6" t="s">
        <v>150</v>
      </c>
      <c r="K222" s="6" t="s">
        <v>242</v>
      </c>
      <c r="L222" s="6" t="s">
        <v>342</v>
      </c>
      <c r="M222" s="6">
        <v>1</v>
      </c>
      <c r="N222" s="7">
        <v>1500</v>
      </c>
      <c r="O222" s="7"/>
      <c r="P222" s="6" t="s">
        <v>27</v>
      </c>
      <c r="Q222" s="6" t="s">
        <v>118</v>
      </c>
      <c r="R222" s="4">
        <v>44055</v>
      </c>
      <c r="S222" s="6" t="s">
        <v>29</v>
      </c>
      <c r="T222" s="6" t="s">
        <v>65</v>
      </c>
    </row>
    <row r="223" spans="1:20" x14ac:dyDescent="0.35">
      <c r="A223" s="4">
        <v>44024</v>
      </c>
      <c r="B223" s="5"/>
      <c r="C223" s="5"/>
      <c r="D223" s="5"/>
      <c r="E223" s="5"/>
      <c r="F223" s="6" t="s">
        <v>347</v>
      </c>
      <c r="G223" s="6" t="s">
        <v>348</v>
      </c>
      <c r="H223" s="6" t="s">
        <v>340</v>
      </c>
      <c r="I223" s="6" t="s">
        <v>341</v>
      </c>
      <c r="J223" s="6" t="s">
        <v>150</v>
      </c>
      <c r="K223" s="6" t="s">
        <v>242</v>
      </c>
      <c r="L223" s="6" t="s">
        <v>342</v>
      </c>
      <c r="M223" s="6">
        <v>1</v>
      </c>
      <c r="N223" s="7">
        <v>1500</v>
      </c>
      <c r="O223" s="7"/>
      <c r="P223" s="6" t="s">
        <v>27</v>
      </c>
      <c r="Q223" s="6" t="s">
        <v>349</v>
      </c>
      <c r="R223" s="4">
        <v>44055</v>
      </c>
      <c r="S223" s="6" t="s">
        <v>29</v>
      </c>
      <c r="T223" s="6" t="s">
        <v>65</v>
      </c>
    </row>
    <row r="224" spans="1:20" x14ac:dyDescent="0.35">
      <c r="A224" s="4">
        <v>44024</v>
      </c>
      <c r="B224" s="5"/>
      <c r="C224" s="5"/>
      <c r="D224" s="5"/>
      <c r="E224" s="5"/>
      <c r="F224" s="6" t="s">
        <v>350</v>
      </c>
      <c r="G224" s="6" t="s">
        <v>351</v>
      </c>
      <c r="H224" s="6" t="s">
        <v>340</v>
      </c>
      <c r="I224" s="6" t="s">
        <v>341</v>
      </c>
      <c r="J224" s="6" t="s">
        <v>150</v>
      </c>
      <c r="K224" s="6" t="s">
        <v>242</v>
      </c>
      <c r="L224" s="6" t="s">
        <v>342</v>
      </c>
      <c r="M224" s="6">
        <v>1</v>
      </c>
      <c r="N224" s="7">
        <v>1500</v>
      </c>
      <c r="O224" s="7"/>
      <c r="P224" s="6" t="s">
        <v>27</v>
      </c>
      <c r="Q224" s="6" t="s">
        <v>352</v>
      </c>
      <c r="R224" s="4">
        <v>44055</v>
      </c>
      <c r="S224" s="6" t="s">
        <v>29</v>
      </c>
      <c r="T224" s="6" t="s">
        <v>65</v>
      </c>
    </row>
    <row r="225" spans="1:20" x14ac:dyDescent="0.35">
      <c r="A225" s="4">
        <v>44024</v>
      </c>
      <c r="B225" s="5"/>
      <c r="C225" s="5"/>
      <c r="D225" s="5"/>
      <c r="E225" s="5"/>
      <c r="F225" s="6" t="s">
        <v>353</v>
      </c>
      <c r="G225" s="6" t="s">
        <v>254</v>
      </c>
      <c r="H225" s="6" t="s">
        <v>44</v>
      </c>
      <c r="I225" s="6" t="s">
        <v>156</v>
      </c>
      <c r="J225" s="6" t="s">
        <v>150</v>
      </c>
      <c r="K225" s="6" t="s">
        <v>157</v>
      </c>
      <c r="L225" s="6" t="s">
        <v>158</v>
      </c>
      <c r="M225" s="6">
        <v>5</v>
      </c>
      <c r="N225" s="7">
        <v>7450</v>
      </c>
      <c r="O225" s="7"/>
      <c r="P225" s="6" t="s">
        <v>27</v>
      </c>
      <c r="Q225" s="6" t="s">
        <v>354</v>
      </c>
      <c r="R225" s="4">
        <v>44055</v>
      </c>
      <c r="S225" s="6" t="s">
        <v>29</v>
      </c>
      <c r="T225" s="6" t="s">
        <v>36</v>
      </c>
    </row>
    <row r="226" spans="1:20" x14ac:dyDescent="0.35">
      <c r="A226" s="4">
        <v>44024</v>
      </c>
      <c r="B226" s="5"/>
      <c r="C226" s="5"/>
      <c r="D226" s="5"/>
      <c r="E226" s="5"/>
      <c r="F226" s="6" t="s">
        <v>353</v>
      </c>
      <c r="G226" s="6" t="s">
        <v>254</v>
      </c>
      <c r="H226" s="6" t="s">
        <v>164</v>
      </c>
      <c r="I226" s="6" t="s">
        <v>165</v>
      </c>
      <c r="J226" s="6" t="s">
        <v>150</v>
      </c>
      <c r="K226" s="6" t="s">
        <v>166</v>
      </c>
      <c r="L226" s="6" t="s">
        <v>167</v>
      </c>
      <c r="M226" s="6">
        <v>3</v>
      </c>
      <c r="N226" s="7">
        <v>7800</v>
      </c>
      <c r="O226" s="7"/>
      <c r="P226" s="6" t="s">
        <v>27</v>
      </c>
      <c r="Q226" s="6" t="s">
        <v>354</v>
      </c>
      <c r="R226" s="4">
        <v>44055</v>
      </c>
      <c r="S226" s="6" t="s">
        <v>29</v>
      </c>
      <c r="T226" s="6" t="s">
        <v>36</v>
      </c>
    </row>
    <row r="227" spans="1:20" x14ac:dyDescent="0.35">
      <c r="A227" s="4">
        <v>44024</v>
      </c>
      <c r="B227" s="5"/>
      <c r="C227" s="5"/>
      <c r="D227" s="5"/>
      <c r="E227" s="5"/>
      <c r="F227" s="6" t="s">
        <v>75</v>
      </c>
      <c r="G227" s="6" t="s">
        <v>76</v>
      </c>
      <c r="H227" s="6" t="s">
        <v>44</v>
      </c>
      <c r="I227" s="6" t="s">
        <v>149</v>
      </c>
      <c r="J227" s="6" t="s">
        <v>150</v>
      </c>
      <c r="K227" s="6" t="s">
        <v>151</v>
      </c>
      <c r="L227" s="6" t="s">
        <v>190</v>
      </c>
      <c r="M227" s="6">
        <v>1</v>
      </c>
      <c r="N227" s="7">
        <v>10050</v>
      </c>
      <c r="O227" s="7"/>
      <c r="P227" s="6" t="s">
        <v>27</v>
      </c>
      <c r="Q227" s="6" t="s">
        <v>77</v>
      </c>
      <c r="R227" s="4">
        <v>44055</v>
      </c>
      <c r="S227" s="6" t="s">
        <v>29</v>
      </c>
      <c r="T227" s="6" t="s">
        <v>30</v>
      </c>
    </row>
    <row r="228" spans="1:20" x14ac:dyDescent="0.35">
      <c r="A228" s="4">
        <v>44024</v>
      </c>
      <c r="B228" s="5"/>
      <c r="C228" s="5"/>
      <c r="D228" s="5"/>
      <c r="E228" s="5"/>
      <c r="F228" s="6" t="s">
        <v>75</v>
      </c>
      <c r="G228" s="6" t="s">
        <v>76</v>
      </c>
      <c r="H228" s="6" t="s">
        <v>44</v>
      </c>
      <c r="I228" s="6" t="s">
        <v>149</v>
      </c>
      <c r="J228" s="6" t="s">
        <v>150</v>
      </c>
      <c r="K228" s="6" t="s">
        <v>151</v>
      </c>
      <c r="L228" s="6" t="s">
        <v>155</v>
      </c>
      <c r="M228" s="6">
        <v>2</v>
      </c>
      <c r="N228" s="7">
        <v>9120</v>
      </c>
      <c r="O228" s="7"/>
      <c r="P228" s="6" t="s">
        <v>27</v>
      </c>
      <c r="Q228" s="6" t="s">
        <v>77</v>
      </c>
      <c r="R228" s="4">
        <v>44055</v>
      </c>
      <c r="S228" s="6" t="s">
        <v>29</v>
      </c>
      <c r="T228" s="6" t="s">
        <v>30</v>
      </c>
    </row>
    <row r="229" spans="1:20" x14ac:dyDescent="0.35">
      <c r="A229" s="4">
        <v>44024</v>
      </c>
      <c r="B229" s="5"/>
      <c r="C229" s="5"/>
      <c r="D229" s="5"/>
      <c r="E229" s="5"/>
      <c r="F229" s="6" t="s">
        <v>75</v>
      </c>
      <c r="G229" s="6" t="s">
        <v>76</v>
      </c>
      <c r="H229" s="6" t="s">
        <v>200</v>
      </c>
      <c r="I229" s="6" t="s">
        <v>286</v>
      </c>
      <c r="J229" s="6" t="s">
        <v>150</v>
      </c>
      <c r="K229" s="6" t="s">
        <v>166</v>
      </c>
      <c r="L229" s="6" t="s">
        <v>297</v>
      </c>
      <c r="M229" s="6">
        <v>1</v>
      </c>
      <c r="N229" s="7">
        <v>11120</v>
      </c>
      <c r="O229" s="7"/>
      <c r="P229" s="6" t="s">
        <v>27</v>
      </c>
      <c r="Q229" s="6" t="s">
        <v>77</v>
      </c>
      <c r="R229" s="4">
        <v>44055</v>
      </c>
      <c r="S229" s="6" t="s">
        <v>29</v>
      </c>
      <c r="T229" s="6" t="s">
        <v>30</v>
      </c>
    </row>
    <row r="230" spans="1:20" x14ac:dyDescent="0.35">
      <c r="A230" s="4">
        <v>44024</v>
      </c>
      <c r="B230" s="5"/>
      <c r="C230" s="5"/>
      <c r="D230" s="5"/>
      <c r="E230" s="5"/>
      <c r="F230" s="6" t="s">
        <v>75</v>
      </c>
      <c r="G230" s="6" t="s">
        <v>76</v>
      </c>
      <c r="H230" s="6" t="s">
        <v>39</v>
      </c>
      <c r="I230" s="6" t="s">
        <v>172</v>
      </c>
      <c r="J230" s="6" t="s">
        <v>150</v>
      </c>
      <c r="K230" s="6" t="s">
        <v>166</v>
      </c>
      <c r="L230" s="6" t="s">
        <v>203</v>
      </c>
      <c r="M230" s="6">
        <v>1</v>
      </c>
      <c r="N230" s="7">
        <v>3750</v>
      </c>
      <c r="O230" s="7"/>
      <c r="P230" s="6" t="s">
        <v>27</v>
      </c>
      <c r="Q230" s="6" t="s">
        <v>77</v>
      </c>
      <c r="R230" s="4">
        <v>44055</v>
      </c>
      <c r="S230" s="6" t="s">
        <v>29</v>
      </c>
      <c r="T230" s="6" t="s">
        <v>30</v>
      </c>
    </row>
    <row r="231" spans="1:20" x14ac:dyDescent="0.35">
      <c r="A231" s="4">
        <v>44024</v>
      </c>
      <c r="B231" s="5"/>
      <c r="C231" s="5"/>
      <c r="D231" s="5"/>
      <c r="E231" s="5"/>
      <c r="F231" s="6" t="s">
        <v>75</v>
      </c>
      <c r="G231" s="6" t="s">
        <v>76</v>
      </c>
      <c r="H231" s="6" t="s">
        <v>128</v>
      </c>
      <c r="I231" s="6" t="s">
        <v>355</v>
      </c>
      <c r="J231" s="6" t="s">
        <v>150</v>
      </c>
      <c r="K231" s="6" t="s">
        <v>356</v>
      </c>
      <c r="L231" s="6" t="s">
        <v>357</v>
      </c>
      <c r="M231" s="6">
        <v>1</v>
      </c>
      <c r="N231" s="7">
        <v>7500</v>
      </c>
      <c r="O231" s="7"/>
      <c r="P231" s="6" t="s">
        <v>27</v>
      </c>
      <c r="Q231" s="6" t="s">
        <v>77</v>
      </c>
      <c r="R231" s="4">
        <v>44055</v>
      </c>
      <c r="S231" s="6" t="s">
        <v>29</v>
      </c>
      <c r="T231" s="6" t="s">
        <v>30</v>
      </c>
    </row>
    <row r="232" spans="1:20" x14ac:dyDescent="0.35">
      <c r="A232" s="4">
        <v>44024</v>
      </c>
      <c r="B232" s="5"/>
      <c r="C232" s="5"/>
      <c r="D232" s="5"/>
      <c r="E232" s="5"/>
      <c r="F232" s="6" t="s">
        <v>358</v>
      </c>
      <c r="G232" s="6" t="s">
        <v>160</v>
      </c>
      <c r="H232" s="6" t="s">
        <v>39</v>
      </c>
      <c r="I232" s="6" t="s">
        <v>172</v>
      </c>
      <c r="J232" s="6" t="s">
        <v>150</v>
      </c>
      <c r="K232" s="6" t="s">
        <v>166</v>
      </c>
      <c r="L232" s="6" t="s">
        <v>203</v>
      </c>
      <c r="M232" s="6">
        <v>5</v>
      </c>
      <c r="N232" s="7">
        <v>3750</v>
      </c>
      <c r="O232" s="7"/>
      <c r="P232" s="6" t="s">
        <v>27</v>
      </c>
      <c r="Q232" s="6" t="s">
        <v>61</v>
      </c>
      <c r="R232" s="4">
        <v>44055</v>
      </c>
      <c r="S232" s="6" t="s">
        <v>29</v>
      </c>
      <c r="T232" s="6" t="s">
        <v>30</v>
      </c>
    </row>
    <row r="233" spans="1:20" x14ac:dyDescent="0.35">
      <c r="A233" s="4">
        <v>44024</v>
      </c>
      <c r="B233" s="5"/>
      <c r="C233" s="5"/>
      <c r="D233" s="5"/>
      <c r="E233" s="5"/>
      <c r="F233" s="6" t="s">
        <v>358</v>
      </c>
      <c r="G233" s="6" t="s">
        <v>160</v>
      </c>
      <c r="H233" s="6" t="s">
        <v>219</v>
      </c>
      <c r="I233" s="6" t="s">
        <v>220</v>
      </c>
      <c r="J233" s="6" t="s">
        <v>150</v>
      </c>
      <c r="K233" s="6" t="s">
        <v>221</v>
      </c>
      <c r="L233" s="6" t="s">
        <v>328</v>
      </c>
      <c r="M233" s="6">
        <v>10</v>
      </c>
      <c r="N233" s="7">
        <v>3180</v>
      </c>
      <c r="O233" s="7"/>
      <c r="P233" s="6" t="s">
        <v>27</v>
      </c>
      <c r="Q233" s="6" t="s">
        <v>61</v>
      </c>
      <c r="R233" s="4">
        <v>44055</v>
      </c>
      <c r="S233" s="6" t="s">
        <v>29</v>
      </c>
      <c r="T233" s="6" t="s">
        <v>30</v>
      </c>
    </row>
    <row r="234" spans="1:20" x14ac:dyDescent="0.35">
      <c r="A234" s="4">
        <v>44024</v>
      </c>
      <c r="B234" s="5"/>
      <c r="C234" s="5"/>
      <c r="D234" s="5"/>
      <c r="E234" s="5"/>
      <c r="F234" s="6" t="s">
        <v>359</v>
      </c>
      <c r="G234" s="6" t="s">
        <v>148</v>
      </c>
      <c r="H234" s="6" t="s">
        <v>44</v>
      </c>
      <c r="I234" s="6" t="s">
        <v>156</v>
      </c>
      <c r="J234" s="6" t="s">
        <v>150</v>
      </c>
      <c r="K234" s="6" t="s">
        <v>157</v>
      </c>
      <c r="L234" s="6" t="s">
        <v>337</v>
      </c>
      <c r="M234" s="6">
        <v>1</v>
      </c>
      <c r="N234" s="7">
        <v>7450</v>
      </c>
      <c r="O234" s="7"/>
      <c r="P234" s="6" t="s">
        <v>27</v>
      </c>
      <c r="Q234" s="6" t="s">
        <v>360</v>
      </c>
      <c r="R234" s="4">
        <v>44055</v>
      </c>
      <c r="S234" s="6" t="s">
        <v>29</v>
      </c>
      <c r="T234" s="6" t="s">
        <v>65</v>
      </c>
    </row>
    <row r="235" spans="1:20" x14ac:dyDescent="0.35">
      <c r="A235" s="4">
        <v>44024</v>
      </c>
      <c r="B235" s="5"/>
      <c r="C235" s="5"/>
      <c r="D235" s="5"/>
      <c r="E235" s="5"/>
      <c r="F235" s="6" t="s">
        <v>359</v>
      </c>
      <c r="G235" s="6" t="s">
        <v>148</v>
      </c>
      <c r="H235" s="6" t="s">
        <v>44</v>
      </c>
      <c r="I235" s="6" t="s">
        <v>149</v>
      </c>
      <c r="J235" s="6" t="s">
        <v>150</v>
      </c>
      <c r="K235" s="6" t="s">
        <v>151</v>
      </c>
      <c r="L235" s="6" t="s">
        <v>190</v>
      </c>
      <c r="M235" s="6">
        <v>1</v>
      </c>
      <c r="N235" s="7">
        <v>10050</v>
      </c>
      <c r="O235" s="7"/>
      <c r="P235" s="6" t="s">
        <v>27</v>
      </c>
      <c r="Q235" s="6" t="s">
        <v>360</v>
      </c>
      <c r="R235" s="4">
        <v>44055</v>
      </c>
      <c r="S235" s="6" t="s">
        <v>29</v>
      </c>
      <c r="T235" s="6" t="s">
        <v>65</v>
      </c>
    </row>
    <row r="236" spans="1:20" x14ac:dyDescent="0.35">
      <c r="A236" s="4">
        <v>44024</v>
      </c>
      <c r="B236" s="5"/>
      <c r="C236" s="5"/>
      <c r="D236" s="5"/>
      <c r="E236" s="5"/>
      <c r="F236" s="6" t="s">
        <v>359</v>
      </c>
      <c r="G236" s="6" t="s">
        <v>148</v>
      </c>
      <c r="H236" s="6" t="s">
        <v>44</v>
      </c>
      <c r="I236" s="6" t="s">
        <v>149</v>
      </c>
      <c r="J236" s="6" t="s">
        <v>150</v>
      </c>
      <c r="K236" s="6" t="s">
        <v>151</v>
      </c>
      <c r="L236" s="6" t="s">
        <v>155</v>
      </c>
      <c r="M236" s="6">
        <v>1</v>
      </c>
      <c r="N236" s="7">
        <v>9120</v>
      </c>
      <c r="O236" s="7"/>
      <c r="P236" s="6" t="s">
        <v>27</v>
      </c>
      <c r="Q236" s="6" t="s">
        <v>360</v>
      </c>
      <c r="R236" s="4">
        <v>44055</v>
      </c>
      <c r="S236" s="6" t="s">
        <v>29</v>
      </c>
      <c r="T236" s="6" t="s">
        <v>65</v>
      </c>
    </row>
    <row r="237" spans="1:20" x14ac:dyDescent="0.35">
      <c r="A237" s="4">
        <v>44024</v>
      </c>
      <c r="B237" s="5"/>
      <c r="C237" s="5"/>
      <c r="D237" s="5"/>
      <c r="E237" s="5"/>
      <c r="F237" s="6" t="s">
        <v>359</v>
      </c>
      <c r="G237" s="6" t="s">
        <v>148</v>
      </c>
      <c r="H237" s="6" t="s">
        <v>219</v>
      </c>
      <c r="I237" s="6" t="s">
        <v>220</v>
      </c>
      <c r="J237" s="6" t="s">
        <v>150</v>
      </c>
      <c r="K237" s="6" t="s">
        <v>221</v>
      </c>
      <c r="L237" s="6" t="s">
        <v>284</v>
      </c>
      <c r="M237" s="6">
        <v>2</v>
      </c>
      <c r="N237" s="7">
        <v>2780</v>
      </c>
      <c r="O237" s="7"/>
      <c r="P237" s="6" t="s">
        <v>27</v>
      </c>
      <c r="Q237" s="6" t="s">
        <v>360</v>
      </c>
      <c r="R237" s="4">
        <v>44055</v>
      </c>
      <c r="S237" s="6" t="s">
        <v>29</v>
      </c>
      <c r="T237" s="6" t="s">
        <v>65</v>
      </c>
    </row>
    <row r="238" spans="1:20" x14ac:dyDescent="0.35">
      <c r="A238" s="4">
        <v>43933</v>
      </c>
      <c r="B238" s="5"/>
      <c r="C238" s="5"/>
      <c r="D238" s="5"/>
      <c r="E238" s="5"/>
      <c r="F238" s="6" t="s">
        <v>137</v>
      </c>
      <c r="G238" s="6" t="s">
        <v>138</v>
      </c>
      <c r="H238" s="6" t="s">
        <v>168</v>
      </c>
      <c r="I238" s="6" t="s">
        <v>169</v>
      </c>
      <c r="J238" s="6" t="s">
        <v>150</v>
      </c>
      <c r="K238" s="6" t="s">
        <v>170</v>
      </c>
      <c r="L238" s="6" t="s">
        <v>185</v>
      </c>
      <c r="M238" s="6">
        <v>1</v>
      </c>
      <c r="N238" s="7">
        <v>3000</v>
      </c>
      <c r="O238" s="7"/>
      <c r="P238" s="6" t="s">
        <v>27</v>
      </c>
      <c r="Q238" s="6" t="s">
        <v>139</v>
      </c>
      <c r="R238" s="4">
        <v>44055</v>
      </c>
      <c r="S238" s="6" t="s">
        <v>29</v>
      </c>
      <c r="T238" s="6" t="s">
        <v>65</v>
      </c>
    </row>
    <row r="239" spans="1:20" x14ac:dyDescent="0.35">
      <c r="A239" s="4">
        <v>43933</v>
      </c>
      <c r="B239" s="5"/>
      <c r="C239" s="5"/>
      <c r="D239" s="5"/>
      <c r="E239" s="5"/>
      <c r="F239" s="6" t="s">
        <v>137</v>
      </c>
      <c r="G239" s="6" t="s">
        <v>138</v>
      </c>
      <c r="H239" s="6" t="s">
        <v>293</v>
      </c>
      <c r="I239" s="6" t="s">
        <v>294</v>
      </c>
      <c r="J239" s="6" t="s">
        <v>150</v>
      </c>
      <c r="K239" s="6" t="s">
        <v>157</v>
      </c>
      <c r="L239" s="6" t="s">
        <v>295</v>
      </c>
      <c r="M239" s="6">
        <v>1</v>
      </c>
      <c r="N239" s="7">
        <v>5100</v>
      </c>
      <c r="O239" s="7"/>
      <c r="P239" s="6" t="s">
        <v>27</v>
      </c>
      <c r="Q239" s="6" t="s">
        <v>139</v>
      </c>
      <c r="R239" s="4">
        <v>44055</v>
      </c>
      <c r="S239" s="6" t="s">
        <v>29</v>
      </c>
      <c r="T239" s="6" t="s">
        <v>65</v>
      </c>
    </row>
    <row r="240" spans="1:20" x14ac:dyDescent="0.35">
      <c r="A240" s="4">
        <v>44024</v>
      </c>
      <c r="B240" s="5"/>
      <c r="C240" s="5"/>
      <c r="D240" s="5"/>
      <c r="E240" s="5"/>
      <c r="F240" s="6" t="s">
        <v>78</v>
      </c>
      <c r="G240" s="6" t="s">
        <v>79</v>
      </c>
      <c r="H240" s="6" t="s">
        <v>44</v>
      </c>
      <c r="I240" s="6" t="s">
        <v>149</v>
      </c>
      <c r="J240" s="6" t="s">
        <v>150</v>
      </c>
      <c r="K240" s="6" t="s">
        <v>151</v>
      </c>
      <c r="L240" s="6" t="s">
        <v>155</v>
      </c>
      <c r="M240" s="6">
        <v>1</v>
      </c>
      <c r="N240" s="7">
        <v>9120</v>
      </c>
      <c r="O240" s="7"/>
      <c r="P240" s="6" t="s">
        <v>27</v>
      </c>
      <c r="Q240" s="6" t="s">
        <v>81</v>
      </c>
      <c r="R240" s="4">
        <v>44055</v>
      </c>
      <c r="S240" s="6" t="s">
        <v>29</v>
      </c>
      <c r="T240" s="6" t="s">
        <v>65</v>
      </c>
    </row>
    <row r="241" spans="1:20" x14ac:dyDescent="0.35">
      <c r="A241" s="4">
        <v>44024</v>
      </c>
      <c r="B241" s="5"/>
      <c r="C241" s="5"/>
      <c r="D241" s="5"/>
      <c r="E241" s="5"/>
      <c r="F241" s="6" t="s">
        <v>78</v>
      </c>
      <c r="G241" s="6" t="s">
        <v>79</v>
      </c>
      <c r="H241" s="6" t="s">
        <v>39</v>
      </c>
      <c r="I241" s="6" t="s">
        <v>172</v>
      </c>
      <c r="J241" s="6" t="s">
        <v>150</v>
      </c>
      <c r="K241" s="6" t="s">
        <v>166</v>
      </c>
      <c r="L241" s="6" t="s">
        <v>203</v>
      </c>
      <c r="M241" s="6">
        <v>1</v>
      </c>
      <c r="N241" s="7">
        <v>3750</v>
      </c>
      <c r="O241" s="7"/>
      <c r="P241" s="6" t="s">
        <v>27</v>
      </c>
      <c r="Q241" s="6" t="s">
        <v>81</v>
      </c>
      <c r="R241" s="4">
        <v>44055</v>
      </c>
      <c r="S241" s="6" t="s">
        <v>29</v>
      </c>
      <c r="T241" s="6" t="s">
        <v>65</v>
      </c>
    </row>
    <row r="242" spans="1:20" x14ac:dyDescent="0.35">
      <c r="A242" s="4">
        <v>44024</v>
      </c>
      <c r="B242" s="5"/>
      <c r="C242" s="5"/>
      <c r="D242" s="5"/>
      <c r="E242" s="5"/>
      <c r="F242" s="6" t="s">
        <v>78</v>
      </c>
      <c r="G242" s="6" t="s">
        <v>79</v>
      </c>
      <c r="H242" s="6" t="s">
        <v>200</v>
      </c>
      <c r="I242" s="6" t="s">
        <v>201</v>
      </c>
      <c r="J242" s="6" t="s">
        <v>150</v>
      </c>
      <c r="K242" s="6" t="s">
        <v>166</v>
      </c>
      <c r="L242" s="6" t="s">
        <v>206</v>
      </c>
      <c r="M242" s="6">
        <v>1</v>
      </c>
      <c r="N242" s="7">
        <v>6750</v>
      </c>
      <c r="O242" s="7"/>
      <c r="P242" s="6" t="s">
        <v>27</v>
      </c>
      <c r="Q242" s="6" t="s">
        <v>81</v>
      </c>
      <c r="R242" s="4">
        <v>44055</v>
      </c>
      <c r="S242" s="6" t="s">
        <v>29</v>
      </c>
      <c r="T242" s="6" t="s">
        <v>65</v>
      </c>
    </row>
    <row r="243" spans="1:20" x14ac:dyDescent="0.35">
      <c r="A243" s="4">
        <v>44055</v>
      </c>
      <c r="B243" s="5"/>
      <c r="C243" s="5"/>
      <c r="D243" s="5"/>
      <c r="E243" s="5"/>
      <c r="F243" s="6" t="s">
        <v>361</v>
      </c>
      <c r="G243" s="6" t="s">
        <v>362</v>
      </c>
      <c r="H243" s="6" t="s">
        <v>44</v>
      </c>
      <c r="I243" s="6" t="s">
        <v>149</v>
      </c>
      <c r="J243" s="6" t="s">
        <v>150</v>
      </c>
      <c r="K243" s="6" t="s">
        <v>151</v>
      </c>
      <c r="L243" s="6" t="s">
        <v>152</v>
      </c>
      <c r="M243" s="6">
        <v>1</v>
      </c>
      <c r="N243" s="7">
        <v>11200</v>
      </c>
      <c r="O243" s="7"/>
      <c r="P243" s="6" t="s">
        <v>27</v>
      </c>
      <c r="Q243" s="6" t="s">
        <v>126</v>
      </c>
      <c r="R243" s="4">
        <v>44086</v>
      </c>
      <c r="S243" s="6" t="s">
        <v>29</v>
      </c>
      <c r="T243" s="6" t="s">
        <v>65</v>
      </c>
    </row>
    <row r="244" spans="1:20" x14ac:dyDescent="0.35">
      <c r="A244" s="4">
        <v>44055</v>
      </c>
      <c r="B244" s="5"/>
      <c r="C244" s="5"/>
      <c r="D244" s="5"/>
      <c r="E244" s="5"/>
      <c r="F244" s="6" t="s">
        <v>361</v>
      </c>
      <c r="G244" s="6" t="s">
        <v>362</v>
      </c>
      <c r="H244" s="6" t="s">
        <v>44</v>
      </c>
      <c r="I244" s="6" t="s">
        <v>156</v>
      </c>
      <c r="J244" s="6" t="s">
        <v>150</v>
      </c>
      <c r="K244" s="6" t="s">
        <v>157</v>
      </c>
      <c r="L244" s="6" t="s">
        <v>337</v>
      </c>
      <c r="M244" s="6">
        <v>1</v>
      </c>
      <c r="N244" s="7">
        <v>7450</v>
      </c>
      <c r="O244" s="7"/>
      <c r="P244" s="6" t="s">
        <v>27</v>
      </c>
      <c r="Q244" s="6" t="s">
        <v>126</v>
      </c>
      <c r="R244" s="4">
        <v>44086</v>
      </c>
      <c r="S244" s="6" t="s">
        <v>29</v>
      </c>
      <c r="T244" s="6" t="s">
        <v>65</v>
      </c>
    </row>
    <row r="245" spans="1:20" x14ac:dyDescent="0.35">
      <c r="A245" s="4">
        <v>44055</v>
      </c>
      <c r="B245" s="5"/>
      <c r="C245" s="5"/>
      <c r="D245" s="5"/>
      <c r="E245" s="5"/>
      <c r="F245" s="6" t="s">
        <v>361</v>
      </c>
      <c r="G245" s="6" t="s">
        <v>362</v>
      </c>
      <c r="H245" s="6" t="s">
        <v>176</v>
      </c>
      <c r="I245" s="6" t="s">
        <v>177</v>
      </c>
      <c r="J245" s="6" t="s">
        <v>150</v>
      </c>
      <c r="K245" s="6" t="s">
        <v>157</v>
      </c>
      <c r="L245" s="6" t="s">
        <v>292</v>
      </c>
      <c r="M245" s="6">
        <v>1</v>
      </c>
      <c r="N245" s="7">
        <v>5900</v>
      </c>
      <c r="O245" s="7"/>
      <c r="P245" s="6" t="s">
        <v>27</v>
      </c>
      <c r="Q245" s="6" t="s">
        <v>126</v>
      </c>
      <c r="R245" s="4">
        <v>44086</v>
      </c>
      <c r="S245" s="6" t="s">
        <v>29</v>
      </c>
      <c r="T245" s="6" t="s">
        <v>30</v>
      </c>
    </row>
    <row r="246" spans="1:20" x14ac:dyDescent="0.35">
      <c r="A246" s="4">
        <v>44055</v>
      </c>
      <c r="B246" s="5"/>
      <c r="C246" s="5"/>
      <c r="D246" s="5"/>
      <c r="E246" s="5"/>
      <c r="F246" s="6" t="s">
        <v>361</v>
      </c>
      <c r="G246" s="6" t="s">
        <v>362</v>
      </c>
      <c r="H246" s="6" t="s">
        <v>176</v>
      </c>
      <c r="I246" s="6" t="s">
        <v>281</v>
      </c>
      <c r="J246" s="6" t="s">
        <v>150</v>
      </c>
      <c r="K246" s="6" t="s">
        <v>282</v>
      </c>
      <c r="L246" s="6" t="s">
        <v>283</v>
      </c>
      <c r="M246" s="6">
        <v>1</v>
      </c>
      <c r="N246" s="7">
        <v>3300</v>
      </c>
      <c r="O246" s="7"/>
      <c r="P246" s="6" t="s">
        <v>27</v>
      </c>
      <c r="Q246" s="6" t="s">
        <v>126</v>
      </c>
      <c r="R246" s="4">
        <v>44086</v>
      </c>
      <c r="S246" s="6" t="s">
        <v>29</v>
      </c>
      <c r="T246" s="6" t="s">
        <v>30</v>
      </c>
    </row>
    <row r="247" spans="1:20" x14ac:dyDescent="0.35">
      <c r="A247" s="4">
        <v>44055</v>
      </c>
      <c r="B247" s="5"/>
      <c r="C247" s="5"/>
      <c r="D247" s="5"/>
      <c r="E247" s="5"/>
      <c r="F247" s="6" t="s">
        <v>361</v>
      </c>
      <c r="G247" s="6" t="s">
        <v>362</v>
      </c>
      <c r="H247" s="6" t="s">
        <v>39</v>
      </c>
      <c r="I247" s="6" t="s">
        <v>268</v>
      </c>
      <c r="J247" s="6" t="s">
        <v>150</v>
      </c>
      <c r="K247" s="6" t="s">
        <v>166</v>
      </c>
      <c r="L247" s="6" t="s">
        <v>269</v>
      </c>
      <c r="M247" s="6">
        <v>1</v>
      </c>
      <c r="N247" s="7">
        <v>8800</v>
      </c>
      <c r="O247" s="7"/>
      <c r="P247" s="6" t="s">
        <v>27</v>
      </c>
      <c r="Q247" s="6" t="s">
        <v>126</v>
      </c>
      <c r="R247" s="4">
        <v>44086</v>
      </c>
      <c r="S247" s="6" t="s">
        <v>29</v>
      </c>
      <c r="T247" s="6" t="s">
        <v>30</v>
      </c>
    </row>
    <row r="248" spans="1:20" x14ac:dyDescent="0.35">
      <c r="A248" s="4">
        <v>44055</v>
      </c>
      <c r="B248" s="5"/>
      <c r="C248" s="5"/>
      <c r="D248" s="5"/>
      <c r="E248" s="5"/>
      <c r="F248" s="6" t="s">
        <v>361</v>
      </c>
      <c r="G248" s="6" t="s">
        <v>362</v>
      </c>
      <c r="H248" s="6" t="s">
        <v>219</v>
      </c>
      <c r="I248" s="6" t="s">
        <v>220</v>
      </c>
      <c r="J248" s="6" t="s">
        <v>150</v>
      </c>
      <c r="K248" s="6" t="s">
        <v>221</v>
      </c>
      <c r="L248" s="6" t="s">
        <v>328</v>
      </c>
      <c r="M248" s="6">
        <v>1</v>
      </c>
      <c r="N248" s="7">
        <v>3180</v>
      </c>
      <c r="O248" s="7"/>
      <c r="P248" s="6" t="s">
        <v>27</v>
      </c>
      <c r="Q248" s="6" t="s">
        <v>126</v>
      </c>
      <c r="R248" s="4">
        <v>44086</v>
      </c>
      <c r="S248" s="6" t="s">
        <v>29</v>
      </c>
      <c r="T248" s="6" t="s">
        <v>30</v>
      </c>
    </row>
    <row r="249" spans="1:20" x14ac:dyDescent="0.35">
      <c r="A249" s="4">
        <v>44055</v>
      </c>
      <c r="B249" s="5"/>
      <c r="C249" s="5"/>
      <c r="D249" s="5"/>
      <c r="E249" s="5"/>
      <c r="F249" s="6" t="s">
        <v>363</v>
      </c>
      <c r="G249" s="6" t="s">
        <v>205</v>
      </c>
      <c r="H249" s="6" t="s">
        <v>164</v>
      </c>
      <c r="I249" s="6" t="s">
        <v>165</v>
      </c>
      <c r="J249" s="6" t="s">
        <v>150</v>
      </c>
      <c r="K249" s="6" t="s">
        <v>166</v>
      </c>
      <c r="L249" s="6" t="s">
        <v>167</v>
      </c>
      <c r="M249" s="6">
        <v>1</v>
      </c>
      <c r="N249" s="7">
        <v>7800</v>
      </c>
      <c r="O249" s="7"/>
      <c r="P249" s="6" t="s">
        <v>27</v>
      </c>
      <c r="Q249" s="6" t="s">
        <v>207</v>
      </c>
      <c r="R249" s="4">
        <v>44086</v>
      </c>
      <c r="S249" s="6" t="s">
        <v>29</v>
      </c>
      <c r="T249" s="6" t="s">
        <v>36</v>
      </c>
    </row>
    <row r="250" spans="1:20" x14ac:dyDescent="0.35">
      <c r="A250" s="4">
        <v>44055</v>
      </c>
      <c r="B250" s="5"/>
      <c r="C250" s="5"/>
      <c r="D250" s="5"/>
      <c r="E250" s="5"/>
      <c r="F250" s="6" t="s">
        <v>363</v>
      </c>
      <c r="G250" s="6" t="s">
        <v>205</v>
      </c>
      <c r="H250" s="6" t="s">
        <v>364</v>
      </c>
      <c r="I250" s="6" t="s">
        <v>365</v>
      </c>
      <c r="J250" s="6" t="s">
        <v>150</v>
      </c>
      <c r="K250" s="6" t="s">
        <v>366</v>
      </c>
      <c r="L250" s="6" t="s">
        <v>367</v>
      </c>
      <c r="M250" s="6">
        <v>1</v>
      </c>
      <c r="N250" s="7">
        <v>4200</v>
      </c>
      <c r="O250" s="7"/>
      <c r="P250" s="6" t="s">
        <v>27</v>
      </c>
      <c r="Q250" s="6" t="s">
        <v>207</v>
      </c>
      <c r="R250" s="4">
        <v>44086</v>
      </c>
      <c r="S250" s="6" t="s">
        <v>29</v>
      </c>
      <c r="T250" s="6" t="s">
        <v>36</v>
      </c>
    </row>
    <row r="251" spans="1:20" x14ac:dyDescent="0.35">
      <c r="A251" s="4">
        <v>44055</v>
      </c>
      <c r="B251" s="5"/>
      <c r="C251" s="5"/>
      <c r="D251" s="5"/>
      <c r="E251" s="5"/>
      <c r="F251" s="6" t="s">
        <v>363</v>
      </c>
      <c r="G251" s="6" t="s">
        <v>205</v>
      </c>
      <c r="H251" s="6" t="s">
        <v>176</v>
      </c>
      <c r="I251" s="6" t="s">
        <v>177</v>
      </c>
      <c r="J251" s="6" t="s">
        <v>150</v>
      </c>
      <c r="K251" s="6" t="s">
        <v>157</v>
      </c>
      <c r="L251" s="6" t="s">
        <v>178</v>
      </c>
      <c r="M251" s="6">
        <v>5</v>
      </c>
      <c r="N251" s="7">
        <v>2000</v>
      </c>
      <c r="O251" s="7"/>
      <c r="P251" s="6" t="s">
        <v>27</v>
      </c>
      <c r="Q251" s="6" t="s">
        <v>207</v>
      </c>
      <c r="R251" s="4">
        <v>44086</v>
      </c>
      <c r="S251" s="6" t="s">
        <v>29</v>
      </c>
      <c r="T251" s="6" t="s">
        <v>36</v>
      </c>
    </row>
    <row r="252" spans="1:20" x14ac:dyDescent="0.35">
      <c r="A252" s="4">
        <v>44055</v>
      </c>
      <c r="B252" s="5"/>
      <c r="C252" s="5"/>
      <c r="D252" s="5"/>
      <c r="E252" s="5"/>
      <c r="F252" s="6" t="s">
        <v>368</v>
      </c>
      <c r="G252" s="6" t="s">
        <v>369</v>
      </c>
      <c r="H252" s="6" t="s">
        <v>44</v>
      </c>
      <c r="I252" s="6" t="s">
        <v>149</v>
      </c>
      <c r="J252" s="6" t="s">
        <v>150</v>
      </c>
      <c r="K252" s="6" t="s">
        <v>151</v>
      </c>
      <c r="L252" s="6" t="s">
        <v>155</v>
      </c>
      <c r="M252" s="6">
        <v>10</v>
      </c>
      <c r="N252" s="7">
        <v>9120</v>
      </c>
      <c r="O252" s="7"/>
      <c r="P252" s="6" t="s">
        <v>27</v>
      </c>
      <c r="Q252" s="6" t="s">
        <v>275</v>
      </c>
      <c r="R252" s="4">
        <v>44086</v>
      </c>
      <c r="S252" s="6" t="s">
        <v>29</v>
      </c>
      <c r="T252" s="6" t="s">
        <v>36</v>
      </c>
    </row>
    <row r="253" spans="1:20" x14ac:dyDescent="0.35">
      <c r="A253" s="4">
        <v>44055</v>
      </c>
      <c r="B253" s="5"/>
      <c r="C253" s="5"/>
      <c r="D253" s="5"/>
      <c r="E253" s="5"/>
      <c r="F253" s="6" t="s">
        <v>370</v>
      </c>
      <c r="G253" s="6" t="s">
        <v>369</v>
      </c>
      <c r="H253" s="6" t="s">
        <v>164</v>
      </c>
      <c r="I253" s="6" t="s">
        <v>165</v>
      </c>
      <c r="J253" s="6" t="s">
        <v>150</v>
      </c>
      <c r="K253" s="6" t="s">
        <v>166</v>
      </c>
      <c r="L253" s="6" t="s">
        <v>239</v>
      </c>
      <c r="M253" s="6">
        <v>5</v>
      </c>
      <c r="N253" s="7">
        <v>6350</v>
      </c>
      <c r="O253" s="7"/>
      <c r="P253" s="6" t="s">
        <v>27</v>
      </c>
      <c r="Q253" s="6" t="s">
        <v>275</v>
      </c>
      <c r="R253" s="4">
        <v>44086</v>
      </c>
      <c r="S253" s="6" t="s">
        <v>29</v>
      </c>
      <c r="T253" s="6" t="s">
        <v>36</v>
      </c>
    </row>
    <row r="254" spans="1:20" x14ac:dyDescent="0.35">
      <c r="A254" s="4">
        <v>44055</v>
      </c>
      <c r="B254" s="5"/>
      <c r="C254" s="5"/>
      <c r="D254" s="5"/>
      <c r="E254" s="5"/>
      <c r="F254" s="6" t="s">
        <v>371</v>
      </c>
      <c r="G254" s="6" t="s">
        <v>254</v>
      </c>
      <c r="H254" s="6" t="s">
        <v>44</v>
      </c>
      <c r="I254" s="6" t="s">
        <v>149</v>
      </c>
      <c r="J254" s="6" t="s">
        <v>150</v>
      </c>
      <c r="K254" s="6" t="s">
        <v>151</v>
      </c>
      <c r="L254" s="6" t="s">
        <v>155</v>
      </c>
      <c r="M254" s="6">
        <v>15</v>
      </c>
      <c r="N254" s="7">
        <v>9120</v>
      </c>
      <c r="O254" s="7"/>
      <c r="P254" s="6" t="s">
        <v>27</v>
      </c>
      <c r="Q254" s="6" t="s">
        <v>255</v>
      </c>
      <c r="R254" s="4">
        <v>44086</v>
      </c>
      <c r="S254" s="6" t="s">
        <v>29</v>
      </c>
      <c r="T254" s="6" t="s">
        <v>36</v>
      </c>
    </row>
    <row r="255" spans="1:20" x14ac:dyDescent="0.35">
      <c r="A255" s="4">
        <v>44055</v>
      </c>
      <c r="B255" s="5"/>
      <c r="C255" s="5"/>
      <c r="D255" s="5"/>
      <c r="E255" s="5"/>
      <c r="F255" s="6" t="s">
        <v>372</v>
      </c>
      <c r="G255" s="6" t="s">
        <v>373</v>
      </c>
      <c r="H255" s="6" t="s">
        <v>44</v>
      </c>
      <c r="I255" s="6" t="s">
        <v>156</v>
      </c>
      <c r="J255" s="6" t="s">
        <v>150</v>
      </c>
      <c r="K255" s="6" t="s">
        <v>157</v>
      </c>
      <c r="L255" s="6" t="s">
        <v>337</v>
      </c>
      <c r="M255" s="6">
        <v>1</v>
      </c>
      <c r="N255" s="7">
        <v>7450</v>
      </c>
      <c r="O255" s="7"/>
      <c r="P255" s="6" t="s">
        <v>27</v>
      </c>
      <c r="Q255" s="6" t="s">
        <v>352</v>
      </c>
      <c r="R255" s="4">
        <v>44086</v>
      </c>
      <c r="S255" s="6" t="s">
        <v>29</v>
      </c>
      <c r="T255" s="6" t="s">
        <v>36</v>
      </c>
    </row>
    <row r="256" spans="1:20" x14ac:dyDescent="0.35">
      <c r="A256" s="4">
        <v>44055</v>
      </c>
      <c r="B256" s="5"/>
      <c r="C256" s="5"/>
      <c r="D256" s="5"/>
      <c r="E256" s="5"/>
      <c r="F256" s="6" t="s">
        <v>372</v>
      </c>
      <c r="G256" s="6" t="s">
        <v>373</v>
      </c>
      <c r="H256" s="6" t="s">
        <v>340</v>
      </c>
      <c r="I256" s="6" t="s">
        <v>341</v>
      </c>
      <c r="J256" s="6" t="s">
        <v>150</v>
      </c>
      <c r="K256" s="6" t="s">
        <v>242</v>
      </c>
      <c r="L256" s="6" t="s">
        <v>342</v>
      </c>
      <c r="M256" s="6">
        <v>1</v>
      </c>
      <c r="N256" s="7">
        <v>1500</v>
      </c>
      <c r="O256" s="7"/>
      <c r="P256" s="6" t="s">
        <v>27</v>
      </c>
      <c r="Q256" s="6" t="s">
        <v>352</v>
      </c>
      <c r="R256" s="4">
        <v>44086</v>
      </c>
      <c r="S256" s="6" t="s">
        <v>29</v>
      </c>
      <c r="T256" s="6" t="s">
        <v>36</v>
      </c>
    </row>
    <row r="257" spans="1:20" x14ac:dyDescent="0.35">
      <c r="A257" s="4">
        <v>44024</v>
      </c>
      <c r="B257" s="5"/>
      <c r="C257" s="5"/>
      <c r="D257" s="5"/>
      <c r="E257" s="5"/>
      <c r="F257" s="6" t="s">
        <v>374</v>
      </c>
      <c r="G257" s="6" t="s">
        <v>314</v>
      </c>
      <c r="H257" s="6" t="s">
        <v>39</v>
      </c>
      <c r="I257" s="6" t="s">
        <v>172</v>
      </c>
      <c r="J257" s="6" t="s">
        <v>150</v>
      </c>
      <c r="K257" s="6" t="s">
        <v>166</v>
      </c>
      <c r="L257" s="6" t="s">
        <v>302</v>
      </c>
      <c r="M257" s="6">
        <v>3</v>
      </c>
      <c r="N257" s="7">
        <v>8900</v>
      </c>
      <c r="O257" s="7"/>
      <c r="P257" s="6" t="s">
        <v>27</v>
      </c>
      <c r="Q257" s="6" t="s">
        <v>315</v>
      </c>
      <c r="R257" s="4">
        <v>44086</v>
      </c>
      <c r="S257" s="6" t="s">
        <v>29</v>
      </c>
      <c r="T257" s="6" t="s">
        <v>30</v>
      </c>
    </row>
    <row r="258" spans="1:20" x14ac:dyDescent="0.35">
      <c r="A258" s="4">
        <v>44024</v>
      </c>
      <c r="B258" s="5"/>
      <c r="C258" s="5"/>
      <c r="D258" s="5"/>
      <c r="E258" s="5"/>
      <c r="F258" s="6" t="s">
        <v>374</v>
      </c>
      <c r="G258" s="6" t="s">
        <v>314</v>
      </c>
      <c r="H258" s="6" t="s">
        <v>44</v>
      </c>
      <c r="I258" s="6" t="s">
        <v>156</v>
      </c>
      <c r="J258" s="6" t="s">
        <v>150</v>
      </c>
      <c r="K258" s="6" t="s">
        <v>157</v>
      </c>
      <c r="L258" s="6" t="s">
        <v>337</v>
      </c>
      <c r="M258" s="6">
        <v>2</v>
      </c>
      <c r="N258" s="7">
        <v>7450</v>
      </c>
      <c r="O258" s="7"/>
      <c r="P258" s="6" t="s">
        <v>27</v>
      </c>
      <c r="Q258" s="6" t="s">
        <v>315</v>
      </c>
      <c r="R258" s="4">
        <v>44086</v>
      </c>
      <c r="S258" s="6" t="s">
        <v>29</v>
      </c>
      <c r="T258" s="6" t="s">
        <v>30</v>
      </c>
    </row>
    <row r="259" spans="1:20" x14ac:dyDescent="0.35">
      <c r="A259" s="4">
        <v>44055</v>
      </c>
      <c r="B259" s="5"/>
      <c r="C259" s="5"/>
      <c r="D259" s="5"/>
      <c r="E259" s="5"/>
      <c r="F259" s="6" t="s">
        <v>375</v>
      </c>
      <c r="G259" s="6" t="s">
        <v>376</v>
      </c>
      <c r="H259" s="6" t="s">
        <v>44</v>
      </c>
      <c r="I259" s="6" t="s">
        <v>149</v>
      </c>
      <c r="J259" s="6" t="s">
        <v>150</v>
      </c>
      <c r="K259" s="6" t="s">
        <v>151</v>
      </c>
      <c r="L259" s="6" t="s">
        <v>190</v>
      </c>
      <c r="M259" s="6">
        <v>2</v>
      </c>
      <c r="N259" s="7">
        <v>10050</v>
      </c>
      <c r="O259" s="7"/>
      <c r="P259" s="6" t="s">
        <v>27</v>
      </c>
      <c r="Q259" s="6" t="s">
        <v>123</v>
      </c>
      <c r="R259" s="4">
        <v>44086</v>
      </c>
      <c r="S259" s="6" t="s">
        <v>29</v>
      </c>
      <c r="T259" s="6" t="s">
        <v>36</v>
      </c>
    </row>
    <row r="260" spans="1:20" x14ac:dyDescent="0.35">
      <c r="A260" s="4">
        <v>44055</v>
      </c>
      <c r="B260" s="5"/>
      <c r="C260" s="5"/>
      <c r="D260" s="5"/>
      <c r="E260" s="5"/>
      <c r="F260" s="6" t="s">
        <v>375</v>
      </c>
      <c r="G260" s="6" t="s">
        <v>376</v>
      </c>
      <c r="H260" s="6" t="s">
        <v>44</v>
      </c>
      <c r="I260" s="6" t="s">
        <v>149</v>
      </c>
      <c r="J260" s="6" t="s">
        <v>150</v>
      </c>
      <c r="K260" s="6" t="s">
        <v>151</v>
      </c>
      <c r="L260" s="6" t="s">
        <v>155</v>
      </c>
      <c r="M260" s="6">
        <v>2</v>
      </c>
      <c r="N260" s="7">
        <v>9120</v>
      </c>
      <c r="O260" s="7"/>
      <c r="P260" s="6" t="s">
        <v>27</v>
      </c>
      <c r="Q260" s="6" t="s">
        <v>123</v>
      </c>
      <c r="R260" s="4">
        <v>44086</v>
      </c>
      <c r="S260" s="6" t="s">
        <v>29</v>
      </c>
      <c r="T260" s="6" t="s">
        <v>36</v>
      </c>
    </row>
    <row r="261" spans="1:20" x14ac:dyDescent="0.35">
      <c r="A261" s="4">
        <v>44055</v>
      </c>
      <c r="B261" s="5"/>
      <c r="C261" s="5"/>
      <c r="D261" s="5"/>
      <c r="E261" s="5"/>
      <c r="F261" s="6" t="s">
        <v>375</v>
      </c>
      <c r="G261" s="6" t="s">
        <v>376</v>
      </c>
      <c r="H261" s="6" t="s">
        <v>191</v>
      </c>
      <c r="I261" s="6" t="s">
        <v>192</v>
      </c>
      <c r="J261" s="6" t="s">
        <v>150</v>
      </c>
      <c r="K261" s="6" t="s">
        <v>151</v>
      </c>
      <c r="L261" s="6" t="s">
        <v>193</v>
      </c>
      <c r="M261" s="6">
        <v>1</v>
      </c>
      <c r="N261" s="7">
        <v>9050</v>
      </c>
      <c r="O261" s="7"/>
      <c r="P261" s="6" t="s">
        <v>27</v>
      </c>
      <c r="Q261" s="6" t="s">
        <v>123</v>
      </c>
      <c r="R261" s="4">
        <v>44086</v>
      </c>
      <c r="S261" s="6" t="s">
        <v>29</v>
      </c>
      <c r="T261" s="6" t="s">
        <v>36</v>
      </c>
    </row>
    <row r="262" spans="1:20" x14ac:dyDescent="0.35">
      <c r="A262" s="4">
        <v>44055</v>
      </c>
      <c r="B262" s="5"/>
      <c r="C262" s="5"/>
      <c r="D262" s="5"/>
      <c r="E262" s="5"/>
      <c r="F262" s="6" t="s">
        <v>377</v>
      </c>
      <c r="G262" s="6" t="s">
        <v>378</v>
      </c>
      <c r="H262" s="6" t="s">
        <v>340</v>
      </c>
      <c r="I262" s="6" t="s">
        <v>341</v>
      </c>
      <c r="J262" s="6" t="s">
        <v>150</v>
      </c>
      <c r="K262" s="6" t="s">
        <v>242</v>
      </c>
      <c r="L262" s="6" t="s">
        <v>342</v>
      </c>
      <c r="M262" s="6">
        <v>1</v>
      </c>
      <c r="N262" s="7">
        <v>1500</v>
      </c>
      <c r="O262" s="7"/>
      <c r="P262" s="6" t="s">
        <v>27</v>
      </c>
      <c r="Q262" s="6" t="s">
        <v>379</v>
      </c>
      <c r="R262" s="4">
        <v>44086</v>
      </c>
      <c r="S262" s="6" t="s">
        <v>29</v>
      </c>
      <c r="T262" s="6" t="s">
        <v>36</v>
      </c>
    </row>
    <row r="263" spans="1:20" x14ac:dyDescent="0.35">
      <c r="A263" s="4">
        <v>44055</v>
      </c>
      <c r="B263" s="5"/>
      <c r="C263" s="5"/>
      <c r="D263" s="5"/>
      <c r="E263" s="5"/>
      <c r="F263" s="6" t="s">
        <v>377</v>
      </c>
      <c r="G263" s="6" t="s">
        <v>378</v>
      </c>
      <c r="H263" s="6" t="s">
        <v>340</v>
      </c>
      <c r="I263" s="6" t="s">
        <v>341</v>
      </c>
      <c r="J263" s="6" t="s">
        <v>150</v>
      </c>
      <c r="K263" s="6" t="s">
        <v>242</v>
      </c>
      <c r="L263" s="6" t="s">
        <v>344</v>
      </c>
      <c r="M263" s="6">
        <v>1</v>
      </c>
      <c r="N263" s="6">
        <v>1</v>
      </c>
      <c r="O263" s="7"/>
      <c r="P263" s="6" t="s">
        <v>27</v>
      </c>
      <c r="Q263" s="6" t="s">
        <v>379</v>
      </c>
      <c r="R263" s="4">
        <v>44086</v>
      </c>
      <c r="S263" s="6" t="s">
        <v>29</v>
      </c>
      <c r="T263" s="6" t="s">
        <v>36</v>
      </c>
    </row>
    <row r="264" spans="1:20" x14ac:dyDescent="0.35">
      <c r="A264" s="4">
        <v>44024</v>
      </c>
      <c r="B264" s="5"/>
      <c r="C264" s="5"/>
      <c r="D264" s="5"/>
      <c r="E264" s="5"/>
      <c r="F264" s="6" t="s">
        <v>380</v>
      </c>
      <c r="G264" s="6" t="s">
        <v>142</v>
      </c>
      <c r="H264" s="6" t="s">
        <v>200</v>
      </c>
      <c r="I264" s="6" t="s">
        <v>201</v>
      </c>
      <c r="J264" s="6" t="s">
        <v>150</v>
      </c>
      <c r="K264" s="6" t="s">
        <v>166</v>
      </c>
      <c r="L264" s="6" t="s">
        <v>206</v>
      </c>
      <c r="M264" s="6">
        <v>10</v>
      </c>
      <c r="N264" s="7">
        <v>6750</v>
      </c>
      <c r="O264" s="7"/>
      <c r="P264" s="6" t="s">
        <v>27</v>
      </c>
      <c r="Q264" s="6" t="s">
        <v>77</v>
      </c>
      <c r="R264" s="4">
        <v>44086</v>
      </c>
      <c r="S264" s="6" t="s">
        <v>85</v>
      </c>
      <c r="T264" s="6" t="s">
        <v>30</v>
      </c>
    </row>
    <row r="265" spans="1:20" x14ac:dyDescent="0.35">
      <c r="A265" s="4">
        <v>44055</v>
      </c>
      <c r="B265" s="5"/>
      <c r="C265" s="5"/>
      <c r="D265" s="5"/>
      <c r="E265" s="5"/>
      <c r="F265" s="6" t="s">
        <v>381</v>
      </c>
      <c r="G265" s="6" t="s">
        <v>142</v>
      </c>
      <c r="H265" s="6" t="s">
        <v>382</v>
      </c>
      <c r="I265" s="6" t="s">
        <v>383</v>
      </c>
      <c r="J265" s="6" t="s">
        <v>150</v>
      </c>
      <c r="K265" s="6" t="s">
        <v>157</v>
      </c>
      <c r="L265" s="6" t="s">
        <v>384</v>
      </c>
      <c r="M265" s="6">
        <v>10</v>
      </c>
      <c r="N265" s="7">
        <v>1550</v>
      </c>
      <c r="O265" s="7"/>
      <c r="P265" s="6" t="s">
        <v>27</v>
      </c>
      <c r="Q265" s="6" t="s">
        <v>77</v>
      </c>
      <c r="R265" s="4">
        <v>44086</v>
      </c>
      <c r="S265" s="6" t="s">
        <v>85</v>
      </c>
      <c r="T265" s="6" t="s">
        <v>30</v>
      </c>
    </row>
    <row r="266" spans="1:20" x14ac:dyDescent="0.35">
      <c r="A266" s="4">
        <v>44055</v>
      </c>
      <c r="B266" s="5"/>
      <c r="C266" s="5"/>
      <c r="D266" s="5"/>
      <c r="E266" s="5"/>
      <c r="F266" s="6" t="s">
        <v>381</v>
      </c>
      <c r="G266" s="6" t="s">
        <v>142</v>
      </c>
      <c r="H266" s="6" t="s">
        <v>164</v>
      </c>
      <c r="I266" s="6" t="s">
        <v>165</v>
      </c>
      <c r="J266" s="6" t="s">
        <v>150</v>
      </c>
      <c r="K266" s="6" t="s">
        <v>166</v>
      </c>
      <c r="L266" s="6" t="s">
        <v>167</v>
      </c>
      <c r="M266" s="6">
        <v>5</v>
      </c>
      <c r="N266" s="7">
        <v>7800</v>
      </c>
      <c r="O266" s="7"/>
      <c r="P266" s="6" t="s">
        <v>27</v>
      </c>
      <c r="Q266" s="6" t="s">
        <v>77</v>
      </c>
      <c r="R266" s="4">
        <v>44086</v>
      </c>
      <c r="S266" s="6" t="s">
        <v>85</v>
      </c>
      <c r="T266" s="6" t="s">
        <v>30</v>
      </c>
    </row>
    <row r="267" spans="1:20" x14ac:dyDescent="0.35">
      <c r="A267" s="4">
        <v>44055</v>
      </c>
      <c r="B267" s="5"/>
      <c r="C267" s="5"/>
      <c r="D267" s="5"/>
      <c r="E267" s="5"/>
      <c r="F267" s="6" t="s">
        <v>385</v>
      </c>
      <c r="G267" s="6" t="s">
        <v>386</v>
      </c>
      <c r="H267" s="6" t="s">
        <v>39</v>
      </c>
      <c r="I267" s="6" t="s">
        <v>172</v>
      </c>
      <c r="J267" s="6" t="s">
        <v>150</v>
      </c>
      <c r="K267" s="6" t="s">
        <v>166</v>
      </c>
      <c r="L267" s="6" t="s">
        <v>302</v>
      </c>
      <c r="M267" s="6">
        <v>1</v>
      </c>
      <c r="N267" s="7">
        <v>8900</v>
      </c>
      <c r="O267" s="7"/>
      <c r="P267" s="6" t="s">
        <v>27</v>
      </c>
      <c r="Q267" s="6" t="s">
        <v>186</v>
      </c>
      <c r="R267" s="4">
        <v>44086</v>
      </c>
      <c r="S267" s="6" t="s">
        <v>29</v>
      </c>
      <c r="T267" s="6" t="s">
        <v>36</v>
      </c>
    </row>
    <row r="268" spans="1:20" x14ac:dyDescent="0.35">
      <c r="A268" s="4">
        <v>44055</v>
      </c>
      <c r="B268" s="5"/>
      <c r="C268" s="5"/>
      <c r="D268" s="5"/>
      <c r="E268" s="5"/>
      <c r="F268" s="6" t="s">
        <v>385</v>
      </c>
      <c r="G268" s="6" t="s">
        <v>386</v>
      </c>
      <c r="H268" s="6" t="s">
        <v>44</v>
      </c>
      <c r="I268" s="6" t="s">
        <v>156</v>
      </c>
      <c r="J268" s="6" t="s">
        <v>150</v>
      </c>
      <c r="K268" s="6" t="s">
        <v>157</v>
      </c>
      <c r="L268" s="6" t="s">
        <v>337</v>
      </c>
      <c r="M268" s="6">
        <v>2</v>
      </c>
      <c r="N268" s="7">
        <v>7450</v>
      </c>
      <c r="O268" s="7"/>
      <c r="P268" s="6" t="s">
        <v>27</v>
      </c>
      <c r="Q268" s="6" t="s">
        <v>186</v>
      </c>
      <c r="R268" s="4">
        <v>44086</v>
      </c>
      <c r="S268" s="6" t="s">
        <v>29</v>
      </c>
      <c r="T268" s="6" t="s">
        <v>36</v>
      </c>
    </row>
    <row r="269" spans="1:20" x14ac:dyDescent="0.35">
      <c r="A269" s="4">
        <v>44055</v>
      </c>
      <c r="B269" s="5"/>
      <c r="C269" s="5"/>
      <c r="D269" s="5"/>
      <c r="E269" s="5"/>
      <c r="F269" s="6" t="s">
        <v>385</v>
      </c>
      <c r="G269" s="6" t="s">
        <v>386</v>
      </c>
      <c r="H269" s="6" t="s">
        <v>44</v>
      </c>
      <c r="I269" s="6" t="s">
        <v>149</v>
      </c>
      <c r="J269" s="6" t="s">
        <v>150</v>
      </c>
      <c r="K269" s="6" t="s">
        <v>151</v>
      </c>
      <c r="L269" s="6" t="s">
        <v>152</v>
      </c>
      <c r="M269" s="6">
        <v>3</v>
      </c>
      <c r="N269" s="7">
        <v>11200</v>
      </c>
      <c r="O269" s="7"/>
      <c r="P269" s="6" t="s">
        <v>27</v>
      </c>
      <c r="Q269" s="6" t="s">
        <v>186</v>
      </c>
      <c r="R269" s="4">
        <v>44086</v>
      </c>
      <c r="S269" s="6" t="s">
        <v>29</v>
      </c>
      <c r="T269" s="6" t="s">
        <v>36</v>
      </c>
    </row>
    <row r="270" spans="1:20" x14ac:dyDescent="0.35">
      <c r="A270" s="4">
        <v>44055</v>
      </c>
      <c r="B270" s="5"/>
      <c r="C270" s="5"/>
      <c r="D270" s="5"/>
      <c r="E270" s="5"/>
      <c r="F270" s="6" t="s">
        <v>387</v>
      </c>
      <c r="G270" s="6" t="s">
        <v>388</v>
      </c>
      <c r="H270" s="6" t="s">
        <v>364</v>
      </c>
      <c r="I270" s="6" t="s">
        <v>365</v>
      </c>
      <c r="J270" s="6" t="s">
        <v>150</v>
      </c>
      <c r="K270" s="6" t="s">
        <v>366</v>
      </c>
      <c r="L270" s="6" t="s">
        <v>367</v>
      </c>
      <c r="M270" s="6">
        <v>3</v>
      </c>
      <c r="N270" s="7">
        <v>4200</v>
      </c>
      <c r="O270" s="7"/>
      <c r="P270" s="6" t="s">
        <v>27</v>
      </c>
      <c r="Q270" s="6" t="s">
        <v>73</v>
      </c>
      <c r="R270" s="4">
        <v>44116</v>
      </c>
      <c r="S270" s="6" t="s">
        <v>29</v>
      </c>
      <c r="T270" s="6" t="s">
        <v>36</v>
      </c>
    </row>
    <row r="271" spans="1:20" x14ac:dyDescent="0.35">
      <c r="A271" s="4">
        <v>44086</v>
      </c>
      <c r="B271" s="5"/>
      <c r="C271" s="5"/>
      <c r="D271" s="5"/>
      <c r="E271" s="5"/>
      <c r="F271" s="6" t="s">
        <v>389</v>
      </c>
      <c r="G271" s="6" t="s">
        <v>205</v>
      </c>
      <c r="H271" s="6" t="s">
        <v>39</v>
      </c>
      <c r="I271" s="6" t="s">
        <v>172</v>
      </c>
      <c r="J271" s="6" t="s">
        <v>150</v>
      </c>
      <c r="K271" s="6" t="s">
        <v>166</v>
      </c>
      <c r="L271" s="6" t="s">
        <v>203</v>
      </c>
      <c r="M271" s="6">
        <v>2</v>
      </c>
      <c r="N271" s="7">
        <v>3750</v>
      </c>
      <c r="O271" s="7"/>
      <c r="P271" s="6" t="s">
        <v>27</v>
      </c>
      <c r="Q271" s="6" t="s">
        <v>275</v>
      </c>
      <c r="R271" s="4">
        <v>44116</v>
      </c>
      <c r="S271" s="6" t="s">
        <v>29</v>
      </c>
      <c r="T271" s="6" t="s">
        <v>36</v>
      </c>
    </row>
    <row r="272" spans="1:20" x14ac:dyDescent="0.35">
      <c r="A272" s="4">
        <v>44086</v>
      </c>
      <c r="B272" s="5"/>
      <c r="C272" s="5"/>
      <c r="D272" s="5"/>
      <c r="E272" s="5"/>
      <c r="F272" s="6" t="s">
        <v>390</v>
      </c>
      <c r="G272" s="6" t="s">
        <v>72</v>
      </c>
      <c r="H272" s="6" t="s">
        <v>200</v>
      </c>
      <c r="I272" s="6" t="s">
        <v>286</v>
      </c>
      <c r="J272" s="6" t="s">
        <v>150</v>
      </c>
      <c r="K272" s="6" t="s">
        <v>166</v>
      </c>
      <c r="L272" s="6" t="s">
        <v>287</v>
      </c>
      <c r="M272" s="6">
        <v>1</v>
      </c>
      <c r="N272" s="7">
        <v>23680</v>
      </c>
      <c r="O272" s="7"/>
      <c r="P272" s="6" t="s">
        <v>27</v>
      </c>
      <c r="Q272" s="6" t="s">
        <v>391</v>
      </c>
      <c r="R272" s="4">
        <v>44116</v>
      </c>
      <c r="S272" s="6" t="s">
        <v>29</v>
      </c>
      <c r="T272" s="6" t="s">
        <v>36</v>
      </c>
    </row>
    <row r="273" spans="1:20" x14ac:dyDescent="0.35">
      <c r="A273" s="4">
        <v>44086</v>
      </c>
      <c r="B273" s="5"/>
      <c r="C273" s="5"/>
      <c r="D273" s="5"/>
      <c r="E273" s="5"/>
      <c r="F273" s="6" t="s">
        <v>390</v>
      </c>
      <c r="G273" s="6" t="s">
        <v>72</v>
      </c>
      <c r="H273" s="6" t="s">
        <v>364</v>
      </c>
      <c r="I273" s="6" t="s">
        <v>365</v>
      </c>
      <c r="J273" s="6" t="s">
        <v>150</v>
      </c>
      <c r="K273" s="6" t="s">
        <v>366</v>
      </c>
      <c r="L273" s="6" t="s">
        <v>367</v>
      </c>
      <c r="M273" s="6">
        <v>2</v>
      </c>
      <c r="N273" s="7">
        <v>4200</v>
      </c>
      <c r="O273" s="7"/>
      <c r="P273" s="6" t="s">
        <v>27</v>
      </c>
      <c r="Q273" s="6" t="s">
        <v>391</v>
      </c>
      <c r="R273" s="4">
        <v>44116</v>
      </c>
      <c r="S273" s="6" t="s">
        <v>29</v>
      </c>
      <c r="T273" s="6" t="s">
        <v>36</v>
      </c>
    </row>
    <row r="274" spans="1:20" x14ac:dyDescent="0.35">
      <c r="A274" s="4">
        <v>44086</v>
      </c>
      <c r="B274" s="5"/>
      <c r="C274" s="5"/>
      <c r="D274" s="5"/>
      <c r="E274" s="5"/>
      <c r="F274" s="6" t="s">
        <v>392</v>
      </c>
      <c r="G274" s="6" t="s">
        <v>393</v>
      </c>
      <c r="H274" s="6" t="s">
        <v>340</v>
      </c>
      <c r="I274" s="6" t="s">
        <v>341</v>
      </c>
      <c r="J274" s="6" t="s">
        <v>150</v>
      </c>
      <c r="K274" s="6" t="s">
        <v>242</v>
      </c>
      <c r="L274" s="6" t="s">
        <v>342</v>
      </c>
      <c r="M274" s="6">
        <v>1</v>
      </c>
      <c r="N274" s="7">
        <v>1500</v>
      </c>
      <c r="O274" s="7"/>
      <c r="P274" s="6" t="s">
        <v>27</v>
      </c>
      <c r="Q274" s="6" t="s">
        <v>110</v>
      </c>
      <c r="R274" s="4">
        <v>44116</v>
      </c>
      <c r="S274" s="6" t="s">
        <v>29</v>
      </c>
      <c r="T274" s="6" t="s">
        <v>36</v>
      </c>
    </row>
    <row r="275" spans="1:20" x14ac:dyDescent="0.35">
      <c r="A275" s="4">
        <v>44086</v>
      </c>
      <c r="B275" s="5"/>
      <c r="C275" s="5"/>
      <c r="D275" s="5"/>
      <c r="E275" s="5"/>
      <c r="F275" s="6" t="s">
        <v>392</v>
      </c>
      <c r="G275" s="6" t="s">
        <v>393</v>
      </c>
      <c r="H275" s="6" t="s">
        <v>340</v>
      </c>
      <c r="I275" s="6" t="s">
        <v>341</v>
      </c>
      <c r="J275" s="6" t="s">
        <v>150</v>
      </c>
      <c r="K275" s="6" t="s">
        <v>242</v>
      </c>
      <c r="L275" s="6" t="s">
        <v>344</v>
      </c>
      <c r="M275" s="6">
        <v>1</v>
      </c>
      <c r="N275" s="6">
        <v>1</v>
      </c>
      <c r="O275" s="7"/>
      <c r="P275" s="6" t="s">
        <v>27</v>
      </c>
      <c r="Q275" s="6" t="s">
        <v>110</v>
      </c>
      <c r="R275" s="4">
        <v>44116</v>
      </c>
      <c r="S275" s="6" t="s">
        <v>29</v>
      </c>
      <c r="T275" s="6" t="s">
        <v>36</v>
      </c>
    </row>
    <row r="276" spans="1:20" x14ac:dyDescent="0.35">
      <c r="A276" s="4">
        <v>44086</v>
      </c>
      <c r="B276" s="5"/>
      <c r="C276" s="5"/>
      <c r="D276" s="5"/>
      <c r="E276" s="5"/>
      <c r="F276" s="6" t="s">
        <v>394</v>
      </c>
      <c r="G276" s="6" t="s">
        <v>395</v>
      </c>
      <c r="H276" s="6" t="s">
        <v>200</v>
      </c>
      <c r="I276" s="6" t="s">
        <v>201</v>
      </c>
      <c r="J276" s="6" t="s">
        <v>150</v>
      </c>
      <c r="K276" s="6" t="s">
        <v>166</v>
      </c>
      <c r="L276" s="6" t="s">
        <v>213</v>
      </c>
      <c r="M276" s="6">
        <v>1</v>
      </c>
      <c r="N276" s="7">
        <v>8500</v>
      </c>
      <c r="O276" s="7"/>
      <c r="P276" s="6" t="s">
        <v>27</v>
      </c>
      <c r="Q276" s="6" t="s">
        <v>396</v>
      </c>
      <c r="R276" s="4">
        <v>44116</v>
      </c>
      <c r="S276" s="6" t="s">
        <v>29</v>
      </c>
      <c r="T276" s="6" t="s">
        <v>36</v>
      </c>
    </row>
    <row r="277" spans="1:20" x14ac:dyDescent="0.35">
      <c r="A277" s="4">
        <v>44086</v>
      </c>
      <c r="B277" s="5"/>
      <c r="C277" s="5"/>
      <c r="D277" s="5"/>
      <c r="E277" s="5"/>
      <c r="F277" s="6" t="s">
        <v>394</v>
      </c>
      <c r="G277" s="6" t="s">
        <v>395</v>
      </c>
      <c r="H277" s="6" t="s">
        <v>44</v>
      </c>
      <c r="I277" s="6" t="s">
        <v>149</v>
      </c>
      <c r="J277" s="6" t="s">
        <v>150</v>
      </c>
      <c r="K277" s="6" t="s">
        <v>151</v>
      </c>
      <c r="L277" s="6" t="s">
        <v>152</v>
      </c>
      <c r="M277" s="6">
        <v>1</v>
      </c>
      <c r="N277" s="7">
        <v>11200</v>
      </c>
      <c r="O277" s="7"/>
      <c r="P277" s="6" t="s">
        <v>27</v>
      </c>
      <c r="Q277" s="6" t="s">
        <v>396</v>
      </c>
      <c r="R277" s="4">
        <v>44116</v>
      </c>
      <c r="S277" s="6" t="s">
        <v>29</v>
      </c>
      <c r="T277" s="6" t="s">
        <v>36</v>
      </c>
    </row>
    <row r="278" spans="1:20" x14ac:dyDescent="0.35">
      <c r="A278" s="4">
        <v>44086</v>
      </c>
      <c r="B278" s="5"/>
      <c r="C278" s="5"/>
      <c r="D278" s="5"/>
      <c r="E278" s="5"/>
      <c r="F278" s="6" t="s">
        <v>394</v>
      </c>
      <c r="G278" s="6" t="s">
        <v>395</v>
      </c>
      <c r="H278" s="6" t="s">
        <v>176</v>
      </c>
      <c r="I278" s="6" t="s">
        <v>177</v>
      </c>
      <c r="J278" s="6" t="s">
        <v>150</v>
      </c>
      <c r="K278" s="6" t="s">
        <v>157</v>
      </c>
      <c r="L278" s="6" t="s">
        <v>178</v>
      </c>
      <c r="M278" s="6">
        <v>1</v>
      </c>
      <c r="N278" s="7">
        <v>2000</v>
      </c>
      <c r="O278" s="7"/>
      <c r="P278" s="6" t="s">
        <v>27</v>
      </c>
      <c r="Q278" s="6" t="s">
        <v>396</v>
      </c>
      <c r="R278" s="4">
        <v>44116</v>
      </c>
      <c r="S278" s="6" t="s">
        <v>29</v>
      </c>
      <c r="T278" s="6" t="s">
        <v>36</v>
      </c>
    </row>
    <row r="279" spans="1:20" x14ac:dyDescent="0.35">
      <c r="A279" s="4">
        <v>44086</v>
      </c>
      <c r="B279" s="5"/>
      <c r="C279" s="5"/>
      <c r="D279" s="5"/>
      <c r="E279" s="5"/>
      <c r="F279" s="6" t="s">
        <v>397</v>
      </c>
      <c r="G279" s="6" t="s">
        <v>398</v>
      </c>
      <c r="H279" s="6" t="s">
        <v>44</v>
      </c>
      <c r="I279" s="6" t="s">
        <v>149</v>
      </c>
      <c r="J279" s="6" t="s">
        <v>150</v>
      </c>
      <c r="K279" s="6" t="s">
        <v>151</v>
      </c>
      <c r="L279" s="6" t="s">
        <v>155</v>
      </c>
      <c r="M279" s="6">
        <v>3</v>
      </c>
      <c r="N279" s="7">
        <v>9120</v>
      </c>
      <c r="O279" s="7"/>
      <c r="P279" s="6" t="s">
        <v>27</v>
      </c>
      <c r="Q279" s="6" t="s">
        <v>28</v>
      </c>
      <c r="R279" s="4">
        <v>44116</v>
      </c>
      <c r="S279" s="6" t="s">
        <v>85</v>
      </c>
      <c r="T279" s="6" t="s">
        <v>36</v>
      </c>
    </row>
    <row r="280" spans="1:20" x14ac:dyDescent="0.35">
      <c r="A280" s="4">
        <v>44086</v>
      </c>
      <c r="B280" s="5"/>
      <c r="C280" s="5"/>
      <c r="D280" s="5"/>
      <c r="E280" s="5"/>
      <c r="F280" s="6" t="s">
        <v>399</v>
      </c>
      <c r="G280" s="6" t="s">
        <v>400</v>
      </c>
      <c r="H280" s="6" t="s">
        <v>44</v>
      </c>
      <c r="I280" s="6" t="s">
        <v>149</v>
      </c>
      <c r="J280" s="6" t="s">
        <v>150</v>
      </c>
      <c r="K280" s="6" t="s">
        <v>151</v>
      </c>
      <c r="L280" s="6" t="s">
        <v>155</v>
      </c>
      <c r="M280" s="6">
        <v>3</v>
      </c>
      <c r="N280" s="7">
        <v>9120</v>
      </c>
      <c r="O280" s="7"/>
      <c r="P280" s="6" t="s">
        <v>27</v>
      </c>
      <c r="Q280" s="6" t="s">
        <v>255</v>
      </c>
      <c r="R280" s="4">
        <v>44116</v>
      </c>
      <c r="S280" s="6" t="s">
        <v>29</v>
      </c>
      <c r="T280" s="6" t="s">
        <v>36</v>
      </c>
    </row>
    <row r="281" spans="1:20" x14ac:dyDescent="0.35">
      <c r="A281" s="4">
        <v>44086</v>
      </c>
      <c r="B281" s="5"/>
      <c r="C281" s="5"/>
      <c r="D281" s="5"/>
      <c r="E281" s="5"/>
      <c r="F281" s="6" t="s">
        <v>399</v>
      </c>
      <c r="G281" s="6" t="s">
        <v>400</v>
      </c>
      <c r="H281" s="6" t="s">
        <v>176</v>
      </c>
      <c r="I281" s="6" t="s">
        <v>177</v>
      </c>
      <c r="J281" s="6" t="s">
        <v>150</v>
      </c>
      <c r="K281" s="6" t="s">
        <v>157</v>
      </c>
      <c r="L281" s="6" t="s">
        <v>178</v>
      </c>
      <c r="M281" s="6">
        <v>2</v>
      </c>
      <c r="N281" s="7">
        <v>2000</v>
      </c>
      <c r="O281" s="7"/>
      <c r="P281" s="6" t="s">
        <v>27</v>
      </c>
      <c r="Q281" s="6" t="s">
        <v>255</v>
      </c>
      <c r="R281" s="4">
        <v>44116</v>
      </c>
      <c r="S281" s="6" t="s">
        <v>29</v>
      </c>
      <c r="T281" s="6" t="s">
        <v>36</v>
      </c>
    </row>
    <row r="282" spans="1:20" x14ac:dyDescent="0.35">
      <c r="A282" s="4">
        <v>44086</v>
      </c>
      <c r="B282" s="5"/>
      <c r="C282" s="5"/>
      <c r="D282" s="5"/>
      <c r="E282" s="5"/>
      <c r="F282" s="6" t="s">
        <v>86</v>
      </c>
      <c r="G282" s="6" t="s">
        <v>79</v>
      </c>
      <c r="H282" s="6" t="s">
        <v>44</v>
      </c>
      <c r="I282" s="6" t="s">
        <v>149</v>
      </c>
      <c r="J282" s="6" t="s">
        <v>150</v>
      </c>
      <c r="K282" s="6" t="s">
        <v>151</v>
      </c>
      <c r="L282" s="6" t="s">
        <v>155</v>
      </c>
      <c r="M282" s="6">
        <v>4</v>
      </c>
      <c r="N282" s="7">
        <v>9120</v>
      </c>
      <c r="O282" s="7"/>
      <c r="P282" s="6" t="s">
        <v>27</v>
      </c>
      <c r="Q282" s="6" t="s">
        <v>87</v>
      </c>
      <c r="R282" s="4">
        <v>44116</v>
      </c>
      <c r="S282" s="6" t="s">
        <v>29</v>
      </c>
      <c r="T282" s="6" t="s">
        <v>36</v>
      </c>
    </row>
    <row r="283" spans="1:20" x14ac:dyDescent="0.35">
      <c r="A283" s="4">
        <v>44086</v>
      </c>
      <c r="B283" s="5"/>
      <c r="C283" s="5"/>
      <c r="D283" s="5"/>
      <c r="E283" s="5"/>
      <c r="F283" s="6" t="s">
        <v>86</v>
      </c>
      <c r="G283" s="6" t="s">
        <v>79</v>
      </c>
      <c r="H283" s="6" t="s">
        <v>44</v>
      </c>
      <c r="I283" s="6" t="s">
        <v>149</v>
      </c>
      <c r="J283" s="6" t="s">
        <v>150</v>
      </c>
      <c r="K283" s="6" t="s">
        <v>151</v>
      </c>
      <c r="L283" s="6" t="s">
        <v>190</v>
      </c>
      <c r="M283" s="6">
        <v>1</v>
      </c>
      <c r="N283" s="7">
        <v>10050</v>
      </c>
      <c r="O283" s="7"/>
      <c r="P283" s="6" t="s">
        <v>27</v>
      </c>
      <c r="Q283" s="6" t="s">
        <v>87</v>
      </c>
      <c r="R283" s="4">
        <v>44116</v>
      </c>
      <c r="S283" s="6" t="s">
        <v>29</v>
      </c>
      <c r="T283" s="6" t="s">
        <v>36</v>
      </c>
    </row>
    <row r="284" spans="1:20" x14ac:dyDescent="0.35">
      <c r="A284" s="4">
        <v>44086</v>
      </c>
      <c r="B284" s="5"/>
      <c r="C284" s="5"/>
      <c r="D284" s="5"/>
      <c r="E284" s="5"/>
      <c r="F284" s="6" t="s">
        <v>401</v>
      </c>
      <c r="G284" s="6" t="s">
        <v>402</v>
      </c>
      <c r="H284" s="6" t="s">
        <v>340</v>
      </c>
      <c r="I284" s="6" t="s">
        <v>341</v>
      </c>
      <c r="J284" s="6" t="s">
        <v>150</v>
      </c>
      <c r="K284" s="6" t="s">
        <v>242</v>
      </c>
      <c r="L284" s="6" t="s">
        <v>342</v>
      </c>
      <c r="M284" s="6">
        <v>1</v>
      </c>
      <c r="N284" s="7">
        <v>1500</v>
      </c>
      <c r="O284" s="7"/>
      <c r="P284" s="6" t="s">
        <v>27</v>
      </c>
      <c r="Q284" s="6" t="s">
        <v>396</v>
      </c>
      <c r="R284" s="4">
        <v>44116</v>
      </c>
      <c r="S284" s="6" t="s">
        <v>29</v>
      </c>
      <c r="T284" s="6" t="s">
        <v>36</v>
      </c>
    </row>
    <row r="285" spans="1:20" x14ac:dyDescent="0.35">
      <c r="A285" s="4">
        <v>44086</v>
      </c>
      <c r="B285" s="5"/>
      <c r="C285" s="5"/>
      <c r="D285" s="5"/>
      <c r="E285" s="5"/>
      <c r="F285" s="6" t="s">
        <v>401</v>
      </c>
      <c r="G285" s="6" t="s">
        <v>402</v>
      </c>
      <c r="H285" s="6" t="s">
        <v>340</v>
      </c>
      <c r="I285" s="6" t="s">
        <v>341</v>
      </c>
      <c r="J285" s="6" t="s">
        <v>150</v>
      </c>
      <c r="K285" s="6" t="s">
        <v>242</v>
      </c>
      <c r="L285" s="6" t="s">
        <v>344</v>
      </c>
      <c r="M285" s="6">
        <v>1</v>
      </c>
      <c r="N285" s="6">
        <v>1</v>
      </c>
      <c r="O285" s="7"/>
      <c r="P285" s="6" t="s">
        <v>27</v>
      </c>
      <c r="Q285" s="6" t="s">
        <v>396</v>
      </c>
      <c r="R285" s="4">
        <v>44116</v>
      </c>
      <c r="S285" s="6" t="s">
        <v>29</v>
      </c>
      <c r="T285" s="6" t="s">
        <v>36</v>
      </c>
    </row>
    <row r="286" spans="1:20" x14ac:dyDescent="0.35">
      <c r="A286" s="4">
        <v>44086</v>
      </c>
      <c r="B286" s="5"/>
      <c r="C286" s="5"/>
      <c r="D286" s="5"/>
      <c r="E286" s="5"/>
      <c r="F286" s="6" t="s">
        <v>403</v>
      </c>
      <c r="G286" s="6" t="s">
        <v>404</v>
      </c>
      <c r="H286" s="6" t="s">
        <v>200</v>
      </c>
      <c r="I286" s="6" t="s">
        <v>201</v>
      </c>
      <c r="J286" s="6" t="s">
        <v>150</v>
      </c>
      <c r="K286" s="6" t="s">
        <v>166</v>
      </c>
      <c r="L286" s="6" t="s">
        <v>213</v>
      </c>
      <c r="M286" s="6">
        <v>4</v>
      </c>
      <c r="N286" s="7">
        <v>8500</v>
      </c>
      <c r="O286" s="7"/>
      <c r="P286" s="6" t="s">
        <v>27</v>
      </c>
      <c r="Q286" s="6" t="s">
        <v>87</v>
      </c>
      <c r="R286" s="4">
        <v>44116</v>
      </c>
      <c r="S286" s="6" t="s">
        <v>29</v>
      </c>
      <c r="T286" s="6" t="s">
        <v>36</v>
      </c>
    </row>
    <row r="287" spans="1:20" x14ac:dyDescent="0.35">
      <c r="A287" s="4">
        <v>44086</v>
      </c>
      <c r="B287" s="5"/>
      <c r="C287" s="5"/>
      <c r="D287" s="5"/>
      <c r="E287" s="5"/>
      <c r="F287" s="6" t="s">
        <v>403</v>
      </c>
      <c r="G287" s="6" t="s">
        <v>404</v>
      </c>
      <c r="H287" s="6" t="s">
        <v>200</v>
      </c>
      <c r="I287" s="6" t="s">
        <v>286</v>
      </c>
      <c r="J287" s="6" t="s">
        <v>150</v>
      </c>
      <c r="K287" s="6" t="s">
        <v>166</v>
      </c>
      <c r="L287" s="6" t="s">
        <v>297</v>
      </c>
      <c r="M287" s="6">
        <v>1</v>
      </c>
      <c r="N287" s="7">
        <v>11120</v>
      </c>
      <c r="O287" s="7"/>
      <c r="P287" s="6" t="s">
        <v>27</v>
      </c>
      <c r="Q287" s="6" t="s">
        <v>87</v>
      </c>
      <c r="R287" s="4">
        <v>44116</v>
      </c>
      <c r="S287" s="6" t="s">
        <v>29</v>
      </c>
      <c r="T287" s="6" t="s">
        <v>36</v>
      </c>
    </row>
    <row r="288" spans="1:20" x14ac:dyDescent="0.35">
      <c r="A288" s="4">
        <v>44086</v>
      </c>
      <c r="B288" s="5"/>
      <c r="C288" s="5"/>
      <c r="D288" s="5"/>
      <c r="E288" s="5"/>
      <c r="F288" s="6" t="s">
        <v>403</v>
      </c>
      <c r="G288" s="6" t="s">
        <v>404</v>
      </c>
      <c r="H288" s="6" t="s">
        <v>176</v>
      </c>
      <c r="I288" s="6" t="s">
        <v>177</v>
      </c>
      <c r="J288" s="6" t="s">
        <v>150</v>
      </c>
      <c r="K288" s="6" t="s">
        <v>157</v>
      </c>
      <c r="L288" s="6" t="s">
        <v>291</v>
      </c>
      <c r="M288" s="6">
        <v>20</v>
      </c>
      <c r="N288" s="6">
        <v>700</v>
      </c>
      <c r="O288" s="7"/>
      <c r="P288" s="6" t="s">
        <v>27</v>
      </c>
      <c r="Q288" s="6" t="s">
        <v>87</v>
      </c>
      <c r="R288" s="4">
        <v>44116</v>
      </c>
      <c r="S288" s="6" t="s">
        <v>29</v>
      </c>
      <c r="T288" s="6" t="s">
        <v>36</v>
      </c>
    </row>
    <row r="289" spans="1:20" x14ac:dyDescent="0.35">
      <c r="A289" s="4">
        <v>44086</v>
      </c>
      <c r="B289" s="5"/>
      <c r="C289" s="5"/>
      <c r="D289" s="5"/>
      <c r="E289" s="5"/>
      <c r="F289" s="6" t="s">
        <v>405</v>
      </c>
      <c r="G289" s="6" t="s">
        <v>406</v>
      </c>
      <c r="H289" s="6" t="s">
        <v>340</v>
      </c>
      <c r="I289" s="6" t="s">
        <v>341</v>
      </c>
      <c r="J289" s="6" t="s">
        <v>150</v>
      </c>
      <c r="K289" s="6" t="s">
        <v>242</v>
      </c>
      <c r="L289" s="6" t="s">
        <v>344</v>
      </c>
      <c r="M289" s="6">
        <v>1</v>
      </c>
      <c r="N289" s="6">
        <v>1</v>
      </c>
      <c r="O289" s="7"/>
      <c r="P289" s="6" t="s">
        <v>27</v>
      </c>
      <c r="Q289" s="6" t="s">
        <v>407</v>
      </c>
      <c r="R289" s="4">
        <v>44116</v>
      </c>
      <c r="S289" s="6" t="s">
        <v>29</v>
      </c>
      <c r="T289" s="6" t="s">
        <v>36</v>
      </c>
    </row>
    <row r="290" spans="1:20" x14ac:dyDescent="0.35">
      <c r="A290" s="4">
        <v>44086</v>
      </c>
      <c r="B290" s="5"/>
      <c r="C290" s="5"/>
      <c r="D290" s="5"/>
      <c r="E290" s="5"/>
      <c r="F290" s="6" t="s">
        <v>405</v>
      </c>
      <c r="G290" s="6" t="s">
        <v>406</v>
      </c>
      <c r="H290" s="6" t="s">
        <v>340</v>
      </c>
      <c r="I290" s="6" t="s">
        <v>341</v>
      </c>
      <c r="J290" s="6" t="s">
        <v>150</v>
      </c>
      <c r="K290" s="6" t="s">
        <v>242</v>
      </c>
      <c r="L290" s="6" t="s">
        <v>342</v>
      </c>
      <c r="M290" s="6">
        <v>1</v>
      </c>
      <c r="N290" s="7">
        <v>1500</v>
      </c>
      <c r="O290" s="7"/>
      <c r="P290" s="6" t="s">
        <v>27</v>
      </c>
      <c r="Q290" s="6" t="s">
        <v>407</v>
      </c>
      <c r="R290" s="4">
        <v>44116</v>
      </c>
      <c r="S290" s="6" t="s">
        <v>29</v>
      </c>
      <c r="T290" s="6" t="s">
        <v>36</v>
      </c>
    </row>
    <row r="291" spans="1:20" x14ac:dyDescent="0.35">
      <c r="A291" s="4">
        <v>44055</v>
      </c>
      <c r="B291" s="5"/>
      <c r="C291" s="5"/>
      <c r="D291" s="5"/>
      <c r="E291" s="5"/>
      <c r="F291" s="6" t="s">
        <v>408</v>
      </c>
      <c r="G291" s="6" t="s">
        <v>409</v>
      </c>
      <c r="H291" s="6" t="s">
        <v>44</v>
      </c>
      <c r="I291" s="6" t="s">
        <v>149</v>
      </c>
      <c r="J291" s="6" t="s">
        <v>150</v>
      </c>
      <c r="K291" s="6" t="s">
        <v>151</v>
      </c>
      <c r="L291" s="6" t="s">
        <v>152</v>
      </c>
      <c r="M291" s="6">
        <v>2</v>
      </c>
      <c r="N291" s="7">
        <v>11200</v>
      </c>
      <c r="O291" s="7"/>
      <c r="P291" s="6" t="s">
        <v>27</v>
      </c>
      <c r="Q291" s="6" t="s">
        <v>410</v>
      </c>
      <c r="R291" s="4">
        <v>44116</v>
      </c>
      <c r="S291" s="6" t="s">
        <v>29</v>
      </c>
      <c r="T291" s="6" t="s">
        <v>30</v>
      </c>
    </row>
    <row r="292" spans="1:20" x14ac:dyDescent="0.35">
      <c r="A292" s="4">
        <v>44086</v>
      </c>
      <c r="B292" s="5"/>
      <c r="C292" s="5"/>
      <c r="D292" s="5"/>
      <c r="E292" s="5"/>
      <c r="F292" s="6" t="s">
        <v>411</v>
      </c>
      <c r="G292" s="6" t="s">
        <v>412</v>
      </c>
      <c r="H292" s="6" t="s">
        <v>364</v>
      </c>
      <c r="I292" s="6" t="s">
        <v>365</v>
      </c>
      <c r="J292" s="6" t="s">
        <v>150</v>
      </c>
      <c r="K292" s="6" t="s">
        <v>366</v>
      </c>
      <c r="L292" s="6" t="s">
        <v>367</v>
      </c>
      <c r="M292" s="6">
        <v>1</v>
      </c>
      <c r="N292" s="7">
        <v>4200</v>
      </c>
      <c r="O292" s="7"/>
      <c r="P292" s="6" t="s">
        <v>27</v>
      </c>
      <c r="Q292" s="6" t="s">
        <v>182</v>
      </c>
      <c r="R292" s="4">
        <v>44116</v>
      </c>
      <c r="S292" s="6" t="s">
        <v>29</v>
      </c>
      <c r="T292" s="6" t="s">
        <v>36</v>
      </c>
    </row>
    <row r="293" spans="1:20" x14ac:dyDescent="0.35">
      <c r="A293" s="4">
        <v>44086</v>
      </c>
      <c r="B293" s="5"/>
      <c r="C293" s="5"/>
      <c r="D293" s="5"/>
      <c r="E293" s="5"/>
      <c r="F293" s="6" t="s">
        <v>411</v>
      </c>
      <c r="G293" s="6" t="s">
        <v>412</v>
      </c>
      <c r="H293" s="6" t="s">
        <v>382</v>
      </c>
      <c r="I293" s="6" t="s">
        <v>383</v>
      </c>
      <c r="J293" s="6" t="s">
        <v>150</v>
      </c>
      <c r="K293" s="6" t="s">
        <v>157</v>
      </c>
      <c r="L293" s="6" t="s">
        <v>384</v>
      </c>
      <c r="M293" s="6">
        <v>1</v>
      </c>
      <c r="N293" s="7">
        <v>1550</v>
      </c>
      <c r="O293" s="7"/>
      <c r="P293" s="6" t="s">
        <v>27</v>
      </c>
      <c r="Q293" s="6" t="s">
        <v>182</v>
      </c>
      <c r="R293" s="4">
        <v>44116</v>
      </c>
      <c r="S293" s="6" t="s">
        <v>29</v>
      </c>
      <c r="T293" s="6" t="s">
        <v>36</v>
      </c>
    </row>
    <row r="294" spans="1:20" x14ac:dyDescent="0.35">
      <c r="A294" s="4">
        <v>44086</v>
      </c>
      <c r="B294" s="5"/>
      <c r="C294" s="5"/>
      <c r="D294" s="5"/>
      <c r="E294" s="5"/>
      <c r="F294" s="6" t="s">
        <v>411</v>
      </c>
      <c r="G294" s="6" t="s">
        <v>412</v>
      </c>
      <c r="H294" s="6" t="s">
        <v>44</v>
      </c>
      <c r="I294" s="6" t="s">
        <v>156</v>
      </c>
      <c r="J294" s="6" t="s">
        <v>150</v>
      </c>
      <c r="K294" s="6" t="s">
        <v>157</v>
      </c>
      <c r="L294" s="6" t="s">
        <v>158</v>
      </c>
      <c r="M294" s="6">
        <v>1</v>
      </c>
      <c r="N294" s="7">
        <v>7450</v>
      </c>
      <c r="O294" s="7"/>
      <c r="P294" s="6" t="s">
        <v>27</v>
      </c>
      <c r="Q294" s="6" t="s">
        <v>182</v>
      </c>
      <c r="R294" s="4">
        <v>44116</v>
      </c>
      <c r="S294" s="6" t="s">
        <v>29</v>
      </c>
      <c r="T294" s="6" t="s">
        <v>36</v>
      </c>
    </row>
    <row r="295" spans="1:20" x14ac:dyDescent="0.35">
      <c r="A295" s="4">
        <v>44086</v>
      </c>
      <c r="B295" s="5"/>
      <c r="C295" s="5"/>
      <c r="D295" s="5"/>
      <c r="E295" s="5"/>
      <c r="F295" s="6" t="s">
        <v>411</v>
      </c>
      <c r="G295" s="6" t="s">
        <v>412</v>
      </c>
      <c r="H295" s="6" t="s">
        <v>39</v>
      </c>
      <c r="I295" s="6" t="s">
        <v>172</v>
      </c>
      <c r="J295" s="6" t="s">
        <v>150</v>
      </c>
      <c r="K295" s="6" t="s">
        <v>166</v>
      </c>
      <c r="L295" s="6" t="s">
        <v>203</v>
      </c>
      <c r="M295" s="6">
        <v>2</v>
      </c>
      <c r="N295" s="7">
        <v>3750</v>
      </c>
      <c r="O295" s="7"/>
      <c r="P295" s="6" t="s">
        <v>27</v>
      </c>
      <c r="Q295" s="6" t="s">
        <v>182</v>
      </c>
      <c r="R295" s="4">
        <v>44116</v>
      </c>
      <c r="S295" s="6" t="s">
        <v>29</v>
      </c>
      <c r="T295" s="6" t="s">
        <v>36</v>
      </c>
    </row>
    <row r="296" spans="1:20" x14ac:dyDescent="0.35">
      <c r="A296" s="4">
        <v>44086</v>
      </c>
      <c r="B296" s="5"/>
      <c r="C296" s="5"/>
      <c r="D296" s="5"/>
      <c r="E296" s="5"/>
      <c r="F296" s="6" t="s">
        <v>411</v>
      </c>
      <c r="G296" s="6" t="s">
        <v>412</v>
      </c>
      <c r="H296" s="6" t="s">
        <v>39</v>
      </c>
      <c r="I296" s="6" t="s">
        <v>268</v>
      </c>
      <c r="J296" s="6" t="s">
        <v>150</v>
      </c>
      <c r="K296" s="6" t="s">
        <v>166</v>
      </c>
      <c r="L296" s="6" t="s">
        <v>269</v>
      </c>
      <c r="M296" s="6">
        <v>1</v>
      </c>
      <c r="N296" s="7">
        <v>8800</v>
      </c>
      <c r="O296" s="7"/>
      <c r="P296" s="6" t="s">
        <v>27</v>
      </c>
      <c r="Q296" s="6" t="s">
        <v>182</v>
      </c>
      <c r="R296" s="4">
        <v>44116</v>
      </c>
      <c r="S296" s="6" t="s">
        <v>29</v>
      </c>
      <c r="T296" s="6" t="s">
        <v>36</v>
      </c>
    </row>
    <row r="297" spans="1:20" x14ac:dyDescent="0.35">
      <c r="A297" s="4">
        <v>44086</v>
      </c>
      <c r="B297" s="5"/>
      <c r="C297" s="5"/>
      <c r="D297" s="5"/>
      <c r="E297" s="5"/>
      <c r="F297" s="6" t="s">
        <v>411</v>
      </c>
      <c r="G297" s="6" t="s">
        <v>412</v>
      </c>
      <c r="H297" s="6" t="s">
        <v>176</v>
      </c>
      <c r="I297" s="6" t="s">
        <v>177</v>
      </c>
      <c r="J297" s="6" t="s">
        <v>150</v>
      </c>
      <c r="K297" s="6" t="s">
        <v>157</v>
      </c>
      <c r="L297" s="6" t="s">
        <v>291</v>
      </c>
      <c r="M297" s="6">
        <v>1</v>
      </c>
      <c r="N297" s="6">
        <v>700</v>
      </c>
      <c r="O297" s="7"/>
      <c r="P297" s="6" t="s">
        <v>27</v>
      </c>
      <c r="Q297" s="6" t="s">
        <v>182</v>
      </c>
      <c r="R297" s="4">
        <v>44116</v>
      </c>
      <c r="S297" s="6" t="s">
        <v>29</v>
      </c>
      <c r="T297" s="6" t="s">
        <v>36</v>
      </c>
    </row>
    <row r="298" spans="1:20" x14ac:dyDescent="0.35">
      <c r="A298" s="4">
        <v>44086</v>
      </c>
      <c r="B298" s="5"/>
      <c r="C298" s="5"/>
      <c r="D298" s="5"/>
      <c r="E298" s="5"/>
      <c r="F298" s="6" t="s">
        <v>413</v>
      </c>
      <c r="G298" s="6" t="s">
        <v>414</v>
      </c>
      <c r="H298" s="6" t="s">
        <v>340</v>
      </c>
      <c r="I298" s="6" t="s">
        <v>341</v>
      </c>
      <c r="J298" s="6" t="s">
        <v>150</v>
      </c>
      <c r="K298" s="6" t="s">
        <v>242</v>
      </c>
      <c r="L298" s="6" t="s">
        <v>342</v>
      </c>
      <c r="M298" s="6">
        <v>1</v>
      </c>
      <c r="N298" s="7">
        <v>1500</v>
      </c>
      <c r="O298" s="7"/>
      <c r="P298" s="6" t="s">
        <v>27</v>
      </c>
      <c r="Q298" s="6" t="s">
        <v>415</v>
      </c>
      <c r="R298" s="4">
        <v>44116</v>
      </c>
      <c r="S298" s="6" t="s">
        <v>29</v>
      </c>
      <c r="T298" s="6" t="s">
        <v>36</v>
      </c>
    </row>
    <row r="299" spans="1:20" x14ac:dyDescent="0.35">
      <c r="A299" s="4">
        <v>44086</v>
      </c>
      <c r="B299" s="5"/>
      <c r="C299" s="5"/>
      <c r="D299" s="5"/>
      <c r="E299" s="5"/>
      <c r="F299" s="6" t="s">
        <v>413</v>
      </c>
      <c r="G299" s="6" t="s">
        <v>414</v>
      </c>
      <c r="H299" s="6" t="s">
        <v>340</v>
      </c>
      <c r="I299" s="6" t="s">
        <v>341</v>
      </c>
      <c r="J299" s="6" t="s">
        <v>150</v>
      </c>
      <c r="K299" s="6" t="s">
        <v>242</v>
      </c>
      <c r="L299" s="6" t="s">
        <v>344</v>
      </c>
      <c r="M299" s="6">
        <v>1</v>
      </c>
      <c r="N299" s="6">
        <v>1</v>
      </c>
      <c r="O299" s="7"/>
      <c r="P299" s="6" t="s">
        <v>27</v>
      </c>
      <c r="Q299" s="6" t="s">
        <v>415</v>
      </c>
      <c r="R299" s="4">
        <v>44116</v>
      </c>
      <c r="S299" s="6" t="s">
        <v>29</v>
      </c>
      <c r="T299" s="6" t="s">
        <v>36</v>
      </c>
    </row>
    <row r="300" spans="1:20" x14ac:dyDescent="0.35">
      <c r="A300" s="4">
        <v>44086</v>
      </c>
      <c r="B300" s="5"/>
      <c r="C300" s="5"/>
      <c r="D300" s="5"/>
      <c r="E300" s="5"/>
      <c r="F300" s="6" t="s">
        <v>416</v>
      </c>
      <c r="G300" s="6" t="s">
        <v>142</v>
      </c>
      <c r="H300" s="6" t="s">
        <v>200</v>
      </c>
      <c r="I300" s="6" t="s">
        <v>201</v>
      </c>
      <c r="J300" s="6" t="s">
        <v>150</v>
      </c>
      <c r="K300" s="6" t="s">
        <v>166</v>
      </c>
      <c r="L300" s="6" t="s">
        <v>213</v>
      </c>
      <c r="M300" s="6">
        <v>2</v>
      </c>
      <c r="N300" s="7">
        <v>8500</v>
      </c>
      <c r="O300" s="7"/>
      <c r="P300" s="6" t="s">
        <v>27</v>
      </c>
      <c r="Q300" s="6" t="s">
        <v>417</v>
      </c>
      <c r="R300" s="4">
        <v>44116</v>
      </c>
      <c r="S300" s="6" t="s">
        <v>85</v>
      </c>
      <c r="T300" s="6" t="s">
        <v>36</v>
      </c>
    </row>
    <row r="301" spans="1:20" x14ac:dyDescent="0.35">
      <c r="A301" s="4">
        <v>44086</v>
      </c>
      <c r="B301" s="5"/>
      <c r="C301" s="5"/>
      <c r="D301" s="5"/>
      <c r="E301" s="5"/>
      <c r="F301" s="6" t="s">
        <v>416</v>
      </c>
      <c r="G301" s="6" t="s">
        <v>142</v>
      </c>
      <c r="H301" s="6" t="s">
        <v>44</v>
      </c>
      <c r="I301" s="6" t="s">
        <v>149</v>
      </c>
      <c r="J301" s="6" t="s">
        <v>150</v>
      </c>
      <c r="K301" s="6" t="s">
        <v>151</v>
      </c>
      <c r="L301" s="6" t="s">
        <v>190</v>
      </c>
      <c r="M301" s="6">
        <v>2</v>
      </c>
      <c r="N301" s="7">
        <v>10050</v>
      </c>
      <c r="O301" s="7"/>
      <c r="P301" s="6" t="s">
        <v>27</v>
      </c>
      <c r="Q301" s="6" t="s">
        <v>417</v>
      </c>
      <c r="R301" s="4">
        <v>44116</v>
      </c>
      <c r="S301" s="6" t="s">
        <v>85</v>
      </c>
      <c r="T301" s="6" t="s">
        <v>36</v>
      </c>
    </row>
    <row r="302" spans="1:20" x14ac:dyDescent="0.35">
      <c r="A302" s="4">
        <v>44086</v>
      </c>
      <c r="B302" s="5"/>
      <c r="C302" s="5"/>
      <c r="D302" s="5"/>
      <c r="E302" s="5"/>
      <c r="F302" s="6" t="s">
        <v>416</v>
      </c>
      <c r="G302" s="6" t="s">
        <v>142</v>
      </c>
      <c r="H302" s="6" t="s">
        <v>44</v>
      </c>
      <c r="I302" s="6" t="s">
        <v>156</v>
      </c>
      <c r="J302" s="6" t="s">
        <v>150</v>
      </c>
      <c r="K302" s="6" t="s">
        <v>157</v>
      </c>
      <c r="L302" s="6" t="s">
        <v>158</v>
      </c>
      <c r="M302" s="6">
        <v>2</v>
      </c>
      <c r="N302" s="7">
        <v>7450</v>
      </c>
      <c r="O302" s="7"/>
      <c r="P302" s="6" t="s">
        <v>27</v>
      </c>
      <c r="Q302" s="6" t="s">
        <v>417</v>
      </c>
      <c r="R302" s="4">
        <v>44116</v>
      </c>
      <c r="S302" s="6" t="s">
        <v>85</v>
      </c>
      <c r="T302" s="6" t="s">
        <v>36</v>
      </c>
    </row>
    <row r="303" spans="1:20" x14ac:dyDescent="0.35">
      <c r="A303" s="4">
        <v>44116</v>
      </c>
      <c r="B303" s="5"/>
      <c r="C303" s="5"/>
      <c r="D303" s="5"/>
      <c r="E303" s="5"/>
      <c r="F303" s="6" t="s">
        <v>418</v>
      </c>
      <c r="G303" s="6" t="s">
        <v>79</v>
      </c>
      <c r="H303" s="6" t="s">
        <v>200</v>
      </c>
      <c r="I303" s="6" t="s">
        <v>201</v>
      </c>
      <c r="J303" s="6" t="s">
        <v>150</v>
      </c>
      <c r="K303" s="6" t="s">
        <v>166</v>
      </c>
      <c r="L303" s="6" t="s">
        <v>206</v>
      </c>
      <c r="M303" s="6">
        <v>4</v>
      </c>
      <c r="N303" s="7">
        <v>6750</v>
      </c>
      <c r="O303" s="7"/>
      <c r="P303" s="6" t="s">
        <v>27</v>
      </c>
      <c r="Q303" s="6" t="s">
        <v>97</v>
      </c>
      <c r="R303" s="4">
        <v>44147</v>
      </c>
      <c r="S303" s="6" t="s">
        <v>29</v>
      </c>
      <c r="T303" s="6" t="s">
        <v>36</v>
      </c>
    </row>
    <row r="304" spans="1:20" x14ac:dyDescent="0.35">
      <c r="A304" s="4">
        <v>44116</v>
      </c>
      <c r="B304" s="5"/>
      <c r="C304" s="5"/>
      <c r="D304" s="5"/>
      <c r="E304" s="5"/>
      <c r="F304" s="6" t="s">
        <v>418</v>
      </c>
      <c r="G304" s="6" t="s">
        <v>79</v>
      </c>
      <c r="H304" s="6" t="s">
        <v>364</v>
      </c>
      <c r="I304" s="6" t="s">
        <v>365</v>
      </c>
      <c r="J304" s="6" t="s">
        <v>150</v>
      </c>
      <c r="K304" s="6" t="s">
        <v>366</v>
      </c>
      <c r="L304" s="6" t="s">
        <v>419</v>
      </c>
      <c r="M304" s="6">
        <v>1</v>
      </c>
      <c r="N304" s="7">
        <v>4200</v>
      </c>
      <c r="O304" s="7"/>
      <c r="P304" s="6" t="s">
        <v>27</v>
      </c>
      <c r="Q304" s="6" t="s">
        <v>97</v>
      </c>
      <c r="R304" s="4">
        <v>44147</v>
      </c>
      <c r="S304" s="6" t="s">
        <v>29</v>
      </c>
      <c r="T304" s="6" t="s">
        <v>36</v>
      </c>
    </row>
    <row r="305" spans="1:20" x14ac:dyDescent="0.35">
      <c r="A305" s="4">
        <v>44116</v>
      </c>
      <c r="B305" s="5"/>
      <c r="C305" s="5"/>
      <c r="D305" s="5"/>
      <c r="E305" s="5"/>
      <c r="F305" s="6" t="s">
        <v>420</v>
      </c>
      <c r="G305" s="6" t="s">
        <v>421</v>
      </c>
      <c r="H305" s="6" t="s">
        <v>44</v>
      </c>
      <c r="I305" s="6" t="s">
        <v>149</v>
      </c>
      <c r="J305" s="6" t="s">
        <v>150</v>
      </c>
      <c r="K305" s="6" t="s">
        <v>151</v>
      </c>
      <c r="L305" s="6" t="s">
        <v>152</v>
      </c>
      <c r="M305" s="6">
        <v>2</v>
      </c>
      <c r="N305" s="7">
        <v>11200</v>
      </c>
      <c r="O305" s="7"/>
      <c r="P305" s="6" t="s">
        <v>27</v>
      </c>
      <c r="Q305" s="6" t="s">
        <v>136</v>
      </c>
      <c r="R305" s="4">
        <v>44147</v>
      </c>
      <c r="S305" s="6" t="s">
        <v>29</v>
      </c>
      <c r="T305" s="6" t="s">
        <v>30</v>
      </c>
    </row>
    <row r="306" spans="1:20" x14ac:dyDescent="0.35">
      <c r="A306" s="4">
        <v>44116</v>
      </c>
      <c r="B306" s="5"/>
      <c r="C306" s="5"/>
      <c r="D306" s="5"/>
      <c r="E306" s="5"/>
      <c r="F306" s="6" t="s">
        <v>420</v>
      </c>
      <c r="G306" s="6" t="s">
        <v>421</v>
      </c>
      <c r="H306" s="6" t="s">
        <v>44</v>
      </c>
      <c r="I306" s="6" t="s">
        <v>149</v>
      </c>
      <c r="J306" s="6" t="s">
        <v>150</v>
      </c>
      <c r="K306" s="6" t="s">
        <v>151</v>
      </c>
      <c r="L306" s="6" t="s">
        <v>155</v>
      </c>
      <c r="M306" s="6">
        <v>3</v>
      </c>
      <c r="N306" s="7">
        <v>9120</v>
      </c>
      <c r="O306" s="7"/>
      <c r="P306" s="6" t="s">
        <v>27</v>
      </c>
      <c r="Q306" s="6" t="s">
        <v>136</v>
      </c>
      <c r="R306" s="4">
        <v>44147</v>
      </c>
      <c r="S306" s="6" t="s">
        <v>29</v>
      </c>
      <c r="T306" s="6" t="s">
        <v>30</v>
      </c>
    </row>
    <row r="307" spans="1:20" x14ac:dyDescent="0.35">
      <c r="A307" s="4">
        <v>44116</v>
      </c>
      <c r="B307" s="5"/>
      <c r="C307" s="5"/>
      <c r="D307" s="5"/>
      <c r="E307" s="5"/>
      <c r="F307" s="6" t="s">
        <v>422</v>
      </c>
      <c r="G307" s="6" t="s">
        <v>423</v>
      </c>
      <c r="H307" s="6" t="s">
        <v>44</v>
      </c>
      <c r="I307" s="6" t="s">
        <v>149</v>
      </c>
      <c r="J307" s="6" t="s">
        <v>150</v>
      </c>
      <c r="K307" s="6" t="s">
        <v>151</v>
      </c>
      <c r="L307" s="6" t="s">
        <v>152</v>
      </c>
      <c r="M307" s="6">
        <v>1</v>
      </c>
      <c r="N307" s="7">
        <v>11200</v>
      </c>
      <c r="O307" s="7"/>
      <c r="P307" s="6" t="s">
        <v>27</v>
      </c>
      <c r="Q307" s="6" t="s">
        <v>136</v>
      </c>
      <c r="R307" s="4">
        <v>44147</v>
      </c>
      <c r="S307" s="6" t="s">
        <v>29</v>
      </c>
      <c r="T307" s="6" t="s">
        <v>36</v>
      </c>
    </row>
    <row r="308" spans="1:20" x14ac:dyDescent="0.35">
      <c r="A308" s="4">
        <v>44116</v>
      </c>
      <c r="B308" s="5"/>
      <c r="C308" s="5"/>
      <c r="D308" s="5"/>
      <c r="E308" s="5"/>
      <c r="F308" s="6" t="s">
        <v>422</v>
      </c>
      <c r="G308" s="6" t="s">
        <v>423</v>
      </c>
      <c r="H308" s="6" t="s">
        <v>44</v>
      </c>
      <c r="I308" s="6" t="s">
        <v>149</v>
      </c>
      <c r="J308" s="6" t="s">
        <v>150</v>
      </c>
      <c r="K308" s="6" t="s">
        <v>151</v>
      </c>
      <c r="L308" s="6" t="s">
        <v>155</v>
      </c>
      <c r="M308" s="6">
        <v>1</v>
      </c>
      <c r="N308" s="7">
        <v>9120</v>
      </c>
      <c r="O308" s="7"/>
      <c r="P308" s="6" t="s">
        <v>27</v>
      </c>
      <c r="Q308" s="6" t="s">
        <v>136</v>
      </c>
      <c r="R308" s="4">
        <v>44147</v>
      </c>
      <c r="S308" s="6" t="s">
        <v>29</v>
      </c>
      <c r="T308" s="6" t="s">
        <v>36</v>
      </c>
    </row>
    <row r="309" spans="1:20" x14ac:dyDescent="0.35">
      <c r="A309" s="4">
        <v>44116</v>
      </c>
      <c r="B309" s="5"/>
      <c r="C309" s="5"/>
      <c r="D309" s="5"/>
      <c r="E309" s="5"/>
      <c r="F309" s="6" t="s">
        <v>422</v>
      </c>
      <c r="G309" s="6" t="s">
        <v>423</v>
      </c>
      <c r="H309" s="6" t="s">
        <v>200</v>
      </c>
      <c r="I309" s="6" t="s">
        <v>201</v>
      </c>
      <c r="J309" s="6" t="s">
        <v>150</v>
      </c>
      <c r="K309" s="6" t="s">
        <v>166</v>
      </c>
      <c r="L309" s="6" t="s">
        <v>206</v>
      </c>
      <c r="M309" s="6">
        <v>1</v>
      </c>
      <c r="N309" s="7">
        <v>6750</v>
      </c>
      <c r="O309" s="7"/>
      <c r="P309" s="6" t="s">
        <v>27</v>
      </c>
      <c r="Q309" s="6" t="s">
        <v>136</v>
      </c>
      <c r="R309" s="4">
        <v>44147</v>
      </c>
      <c r="S309" s="6" t="s">
        <v>29</v>
      </c>
      <c r="T309" s="6" t="s">
        <v>36</v>
      </c>
    </row>
    <row r="310" spans="1:20" x14ac:dyDescent="0.35">
      <c r="A310" s="4">
        <v>44116</v>
      </c>
      <c r="B310" s="5"/>
      <c r="C310" s="5"/>
      <c r="D310" s="5"/>
      <c r="E310" s="5"/>
      <c r="F310" s="6" t="s">
        <v>424</v>
      </c>
      <c r="G310" s="6" t="s">
        <v>425</v>
      </c>
      <c r="H310" s="6" t="s">
        <v>200</v>
      </c>
      <c r="I310" s="6" t="s">
        <v>201</v>
      </c>
      <c r="J310" s="6" t="s">
        <v>150</v>
      </c>
      <c r="K310" s="6" t="s">
        <v>166</v>
      </c>
      <c r="L310" s="6" t="s">
        <v>213</v>
      </c>
      <c r="M310" s="6">
        <v>3</v>
      </c>
      <c r="N310" s="7">
        <v>8500</v>
      </c>
      <c r="O310" s="7"/>
      <c r="P310" s="6" t="s">
        <v>27</v>
      </c>
      <c r="Q310" s="6" t="s">
        <v>426</v>
      </c>
      <c r="R310" s="4">
        <v>44147</v>
      </c>
      <c r="S310" s="6" t="s">
        <v>29</v>
      </c>
      <c r="T310" s="6" t="s">
        <v>36</v>
      </c>
    </row>
    <row r="311" spans="1:20" x14ac:dyDescent="0.35">
      <c r="A311" s="4">
        <v>44116</v>
      </c>
      <c r="B311" s="5"/>
      <c r="C311" s="5"/>
      <c r="D311" s="5"/>
      <c r="E311" s="5"/>
      <c r="F311" s="6" t="s">
        <v>427</v>
      </c>
      <c r="G311" s="6" t="s">
        <v>428</v>
      </c>
      <c r="H311" s="6" t="s">
        <v>340</v>
      </c>
      <c r="I311" s="6" t="s">
        <v>341</v>
      </c>
      <c r="J311" s="6" t="s">
        <v>150</v>
      </c>
      <c r="K311" s="6" t="s">
        <v>242</v>
      </c>
      <c r="L311" s="6" t="s">
        <v>342</v>
      </c>
      <c r="M311" s="6">
        <v>1</v>
      </c>
      <c r="N311" s="7">
        <v>1500</v>
      </c>
      <c r="O311" s="7"/>
      <c r="P311" s="6" t="s">
        <v>27</v>
      </c>
      <c r="Q311" s="6" t="s">
        <v>43</v>
      </c>
      <c r="R311" s="4">
        <v>44147</v>
      </c>
      <c r="S311" s="6" t="s">
        <v>85</v>
      </c>
      <c r="T311" s="6" t="s">
        <v>36</v>
      </c>
    </row>
    <row r="312" spans="1:20" x14ac:dyDescent="0.35">
      <c r="A312" s="4">
        <v>44116</v>
      </c>
      <c r="B312" s="5"/>
      <c r="C312" s="5"/>
      <c r="D312" s="5"/>
      <c r="E312" s="5"/>
      <c r="F312" s="6" t="s">
        <v>427</v>
      </c>
      <c r="G312" s="6" t="s">
        <v>428</v>
      </c>
      <c r="H312" s="6" t="s">
        <v>340</v>
      </c>
      <c r="I312" s="6" t="s">
        <v>341</v>
      </c>
      <c r="J312" s="6" t="s">
        <v>150</v>
      </c>
      <c r="K312" s="6" t="s">
        <v>242</v>
      </c>
      <c r="L312" s="6" t="s">
        <v>344</v>
      </c>
      <c r="M312" s="6">
        <v>1</v>
      </c>
      <c r="N312" s="6">
        <v>1</v>
      </c>
      <c r="O312" s="7"/>
      <c r="P312" s="6" t="s">
        <v>27</v>
      </c>
      <c r="Q312" s="6" t="s">
        <v>43</v>
      </c>
      <c r="R312" s="4">
        <v>44147</v>
      </c>
      <c r="S312" s="6" t="s">
        <v>85</v>
      </c>
      <c r="T312" s="6" t="s">
        <v>36</v>
      </c>
    </row>
    <row r="313" spans="1:20" x14ac:dyDescent="0.35">
      <c r="A313" s="4">
        <v>44086</v>
      </c>
      <c r="B313" s="5"/>
      <c r="C313" s="5"/>
      <c r="D313" s="5"/>
      <c r="E313" s="5"/>
      <c r="F313" s="6" t="s">
        <v>429</v>
      </c>
      <c r="G313" s="6" t="s">
        <v>254</v>
      </c>
      <c r="H313" s="6" t="s">
        <v>44</v>
      </c>
      <c r="I313" s="6" t="s">
        <v>156</v>
      </c>
      <c r="J313" s="6" t="s">
        <v>150</v>
      </c>
      <c r="K313" s="6" t="s">
        <v>157</v>
      </c>
      <c r="L313" s="6" t="s">
        <v>247</v>
      </c>
      <c r="M313" s="6">
        <v>5.5</v>
      </c>
      <c r="N313" s="7">
        <v>7050</v>
      </c>
      <c r="O313" s="7"/>
      <c r="P313" s="6" t="s">
        <v>27</v>
      </c>
      <c r="Q313" s="6" t="s">
        <v>255</v>
      </c>
      <c r="R313" s="4">
        <v>44147</v>
      </c>
      <c r="S313" s="6" t="s">
        <v>29</v>
      </c>
      <c r="T313" s="6" t="s">
        <v>36</v>
      </c>
    </row>
    <row r="314" spans="1:20" x14ac:dyDescent="0.35">
      <c r="A314" s="4">
        <v>44116</v>
      </c>
      <c r="B314" s="5"/>
      <c r="C314" s="5"/>
      <c r="D314" s="5"/>
      <c r="E314" s="5"/>
      <c r="F314" s="6" t="s">
        <v>88</v>
      </c>
      <c r="G314" s="6" t="s">
        <v>89</v>
      </c>
      <c r="H314" s="6" t="s">
        <v>364</v>
      </c>
      <c r="I314" s="6" t="s">
        <v>365</v>
      </c>
      <c r="J314" s="6" t="s">
        <v>150</v>
      </c>
      <c r="K314" s="6" t="s">
        <v>366</v>
      </c>
      <c r="L314" s="6" t="s">
        <v>367</v>
      </c>
      <c r="M314" s="6">
        <v>1</v>
      </c>
      <c r="N314" s="7">
        <v>4200</v>
      </c>
      <c r="O314" s="7"/>
      <c r="P314" s="6" t="s">
        <v>27</v>
      </c>
      <c r="Q314" s="6" t="s">
        <v>90</v>
      </c>
      <c r="R314" s="4">
        <v>44147</v>
      </c>
      <c r="S314" s="6" t="s">
        <v>29</v>
      </c>
      <c r="T314" s="6" t="s">
        <v>36</v>
      </c>
    </row>
    <row r="315" spans="1:20" x14ac:dyDescent="0.35">
      <c r="A315" s="4">
        <v>44116</v>
      </c>
      <c r="B315" s="5"/>
      <c r="C315" s="5"/>
      <c r="D315" s="5"/>
      <c r="E315" s="5"/>
      <c r="F315" s="6" t="s">
        <v>88</v>
      </c>
      <c r="G315" s="6" t="s">
        <v>89</v>
      </c>
      <c r="H315" s="6" t="s">
        <v>382</v>
      </c>
      <c r="I315" s="6" t="s">
        <v>383</v>
      </c>
      <c r="J315" s="6" t="s">
        <v>150</v>
      </c>
      <c r="K315" s="6" t="s">
        <v>157</v>
      </c>
      <c r="L315" s="6" t="s">
        <v>384</v>
      </c>
      <c r="M315" s="6">
        <v>1</v>
      </c>
      <c r="N315" s="7">
        <v>1550</v>
      </c>
      <c r="O315" s="7"/>
      <c r="P315" s="6" t="s">
        <v>27</v>
      </c>
      <c r="Q315" s="6" t="s">
        <v>90</v>
      </c>
      <c r="R315" s="4">
        <v>44147</v>
      </c>
      <c r="S315" s="6" t="s">
        <v>29</v>
      </c>
      <c r="T315" s="6" t="s">
        <v>36</v>
      </c>
    </row>
    <row r="316" spans="1:20" x14ac:dyDescent="0.35">
      <c r="A316" s="4">
        <v>44116</v>
      </c>
      <c r="B316" s="5"/>
      <c r="C316" s="5"/>
      <c r="D316" s="5"/>
      <c r="E316" s="5"/>
      <c r="F316" s="6" t="s">
        <v>88</v>
      </c>
      <c r="G316" s="6" t="s">
        <v>89</v>
      </c>
      <c r="H316" s="6" t="s">
        <v>44</v>
      </c>
      <c r="I316" s="6" t="s">
        <v>149</v>
      </c>
      <c r="J316" s="6" t="s">
        <v>150</v>
      </c>
      <c r="K316" s="6" t="s">
        <v>151</v>
      </c>
      <c r="L316" s="6" t="s">
        <v>152</v>
      </c>
      <c r="M316" s="6">
        <v>1</v>
      </c>
      <c r="N316" s="7">
        <v>11200</v>
      </c>
      <c r="O316" s="7"/>
      <c r="P316" s="6" t="s">
        <v>27</v>
      </c>
      <c r="Q316" s="6" t="s">
        <v>90</v>
      </c>
      <c r="R316" s="4">
        <v>44147</v>
      </c>
      <c r="S316" s="6" t="s">
        <v>29</v>
      </c>
      <c r="T316" s="6" t="s">
        <v>36</v>
      </c>
    </row>
    <row r="317" spans="1:20" x14ac:dyDescent="0.35">
      <c r="A317" s="4">
        <v>44116</v>
      </c>
      <c r="B317" s="5"/>
      <c r="C317" s="5"/>
      <c r="D317" s="5"/>
      <c r="E317" s="5"/>
      <c r="F317" s="6" t="s">
        <v>430</v>
      </c>
      <c r="G317" s="6" t="s">
        <v>431</v>
      </c>
      <c r="H317" s="6" t="s">
        <v>364</v>
      </c>
      <c r="I317" s="6" t="s">
        <v>365</v>
      </c>
      <c r="J317" s="6" t="s">
        <v>150</v>
      </c>
      <c r="K317" s="6" t="s">
        <v>366</v>
      </c>
      <c r="L317" s="6" t="s">
        <v>367</v>
      </c>
      <c r="M317" s="6">
        <v>0.5</v>
      </c>
      <c r="N317" s="7">
        <v>4200</v>
      </c>
      <c r="O317" s="7"/>
      <c r="P317" s="6" t="s">
        <v>27</v>
      </c>
      <c r="Q317" s="6" t="s">
        <v>432</v>
      </c>
      <c r="R317" s="4">
        <v>44147</v>
      </c>
      <c r="S317" s="6" t="s">
        <v>29</v>
      </c>
      <c r="T317" s="6" t="s">
        <v>36</v>
      </c>
    </row>
    <row r="318" spans="1:20" x14ac:dyDescent="0.35">
      <c r="A318" s="4">
        <v>44116</v>
      </c>
      <c r="B318" s="5"/>
      <c r="C318" s="5"/>
      <c r="D318" s="5"/>
      <c r="E318" s="5"/>
      <c r="F318" s="6" t="s">
        <v>430</v>
      </c>
      <c r="G318" s="6" t="s">
        <v>431</v>
      </c>
      <c r="H318" s="6" t="s">
        <v>44</v>
      </c>
      <c r="I318" s="6" t="s">
        <v>149</v>
      </c>
      <c r="J318" s="6" t="s">
        <v>150</v>
      </c>
      <c r="K318" s="6" t="s">
        <v>151</v>
      </c>
      <c r="L318" s="6" t="s">
        <v>152</v>
      </c>
      <c r="M318" s="6">
        <v>0.5</v>
      </c>
      <c r="N318" s="7">
        <v>11200</v>
      </c>
      <c r="O318" s="7"/>
      <c r="P318" s="6" t="s">
        <v>27</v>
      </c>
      <c r="Q318" s="6" t="s">
        <v>432</v>
      </c>
      <c r="R318" s="4">
        <v>44147</v>
      </c>
      <c r="S318" s="6" t="s">
        <v>29</v>
      </c>
      <c r="T318" s="6" t="s">
        <v>36</v>
      </c>
    </row>
    <row r="319" spans="1:20" x14ac:dyDescent="0.35">
      <c r="A319" s="4">
        <v>44116</v>
      </c>
      <c r="B319" s="5"/>
      <c r="C319" s="5"/>
      <c r="D319" s="5"/>
      <c r="E319" s="5"/>
      <c r="F319" s="6" t="s">
        <v>430</v>
      </c>
      <c r="G319" s="6" t="s">
        <v>431</v>
      </c>
      <c r="H319" s="6" t="s">
        <v>44</v>
      </c>
      <c r="I319" s="6" t="s">
        <v>156</v>
      </c>
      <c r="J319" s="6" t="s">
        <v>150</v>
      </c>
      <c r="K319" s="6" t="s">
        <v>157</v>
      </c>
      <c r="L319" s="6" t="s">
        <v>158</v>
      </c>
      <c r="M319" s="6">
        <v>0.5</v>
      </c>
      <c r="N319" s="7">
        <v>7450</v>
      </c>
      <c r="O319" s="7"/>
      <c r="P319" s="6" t="s">
        <v>27</v>
      </c>
      <c r="Q319" s="6" t="s">
        <v>432</v>
      </c>
      <c r="R319" s="4">
        <v>44147</v>
      </c>
      <c r="S319" s="6" t="s">
        <v>29</v>
      </c>
      <c r="T319" s="6" t="s">
        <v>36</v>
      </c>
    </row>
    <row r="320" spans="1:20" x14ac:dyDescent="0.35">
      <c r="A320" s="4">
        <v>44116</v>
      </c>
      <c r="B320" s="5"/>
      <c r="C320" s="5"/>
      <c r="D320" s="5"/>
      <c r="E320" s="5"/>
      <c r="F320" s="6" t="s">
        <v>430</v>
      </c>
      <c r="G320" s="6" t="s">
        <v>431</v>
      </c>
      <c r="H320" s="6" t="s">
        <v>44</v>
      </c>
      <c r="I320" s="6" t="s">
        <v>149</v>
      </c>
      <c r="J320" s="6" t="s">
        <v>150</v>
      </c>
      <c r="K320" s="6" t="s">
        <v>151</v>
      </c>
      <c r="L320" s="6" t="s">
        <v>155</v>
      </c>
      <c r="M320" s="6">
        <v>1</v>
      </c>
      <c r="N320" s="7">
        <v>9120</v>
      </c>
      <c r="O320" s="7"/>
      <c r="P320" s="6" t="s">
        <v>27</v>
      </c>
      <c r="Q320" s="6" t="s">
        <v>432</v>
      </c>
      <c r="R320" s="4">
        <v>44147</v>
      </c>
      <c r="S320" s="6" t="s">
        <v>29</v>
      </c>
      <c r="T320" s="6" t="s">
        <v>36</v>
      </c>
    </row>
    <row r="321" spans="1:20" x14ac:dyDescent="0.35">
      <c r="A321" s="4">
        <v>44116</v>
      </c>
      <c r="B321" s="5"/>
      <c r="C321" s="5"/>
      <c r="D321" s="5"/>
      <c r="E321" s="5"/>
      <c r="F321" s="6" t="s">
        <v>430</v>
      </c>
      <c r="G321" s="6" t="s">
        <v>431</v>
      </c>
      <c r="H321" s="6" t="s">
        <v>176</v>
      </c>
      <c r="I321" s="6" t="s">
        <v>177</v>
      </c>
      <c r="J321" s="6" t="s">
        <v>150</v>
      </c>
      <c r="K321" s="6" t="s">
        <v>157</v>
      </c>
      <c r="L321" s="6" t="s">
        <v>291</v>
      </c>
      <c r="M321" s="6">
        <v>1</v>
      </c>
      <c r="N321" s="6">
        <v>700</v>
      </c>
      <c r="O321" s="7"/>
      <c r="P321" s="6" t="s">
        <v>27</v>
      </c>
      <c r="Q321" s="6" t="s">
        <v>432</v>
      </c>
      <c r="R321" s="4">
        <v>44147</v>
      </c>
      <c r="S321" s="6" t="s">
        <v>29</v>
      </c>
      <c r="T321" s="6" t="s">
        <v>36</v>
      </c>
    </row>
    <row r="322" spans="1:20" x14ac:dyDescent="0.35">
      <c r="A322" s="4">
        <v>44116</v>
      </c>
      <c r="B322" s="5"/>
      <c r="C322" s="5"/>
      <c r="D322" s="5"/>
      <c r="E322" s="5"/>
      <c r="F322" s="6" t="s">
        <v>430</v>
      </c>
      <c r="G322" s="6" t="s">
        <v>431</v>
      </c>
      <c r="H322" s="6" t="s">
        <v>176</v>
      </c>
      <c r="I322" s="6" t="s">
        <v>177</v>
      </c>
      <c r="J322" s="6" t="s">
        <v>150</v>
      </c>
      <c r="K322" s="6" t="s">
        <v>157</v>
      </c>
      <c r="L322" s="6" t="s">
        <v>178</v>
      </c>
      <c r="M322" s="6">
        <v>1</v>
      </c>
      <c r="N322" s="7">
        <v>2000</v>
      </c>
      <c r="O322" s="7"/>
      <c r="P322" s="6" t="s">
        <v>27</v>
      </c>
      <c r="Q322" s="6" t="s">
        <v>432</v>
      </c>
      <c r="R322" s="4">
        <v>44147</v>
      </c>
      <c r="S322" s="6" t="s">
        <v>29</v>
      </c>
      <c r="T322" s="6" t="s">
        <v>36</v>
      </c>
    </row>
    <row r="323" spans="1:20" x14ac:dyDescent="0.35">
      <c r="A323" s="4">
        <v>44116</v>
      </c>
      <c r="B323" s="5"/>
      <c r="C323" s="5"/>
      <c r="D323" s="5"/>
      <c r="E323" s="5"/>
      <c r="F323" s="6" t="s">
        <v>430</v>
      </c>
      <c r="G323" s="6" t="s">
        <v>431</v>
      </c>
      <c r="H323" s="6" t="s">
        <v>164</v>
      </c>
      <c r="I323" s="6" t="s">
        <v>165</v>
      </c>
      <c r="J323" s="6" t="s">
        <v>150</v>
      </c>
      <c r="K323" s="6" t="s">
        <v>166</v>
      </c>
      <c r="L323" s="6" t="s">
        <v>167</v>
      </c>
      <c r="M323" s="6">
        <v>0.5</v>
      </c>
      <c r="N323" s="7">
        <v>7800</v>
      </c>
      <c r="O323" s="7"/>
      <c r="P323" s="6" t="s">
        <v>27</v>
      </c>
      <c r="Q323" s="6" t="s">
        <v>432</v>
      </c>
      <c r="R323" s="4">
        <v>44147</v>
      </c>
      <c r="S323" s="6" t="s">
        <v>29</v>
      </c>
      <c r="T323" s="6" t="s">
        <v>36</v>
      </c>
    </row>
    <row r="324" spans="1:20" x14ac:dyDescent="0.35">
      <c r="A324" s="4">
        <v>44116</v>
      </c>
      <c r="B324" s="5"/>
      <c r="C324" s="5"/>
      <c r="D324" s="5"/>
      <c r="E324" s="5"/>
      <c r="F324" s="6" t="s">
        <v>430</v>
      </c>
      <c r="G324" s="6" t="s">
        <v>431</v>
      </c>
      <c r="H324" s="6" t="s">
        <v>164</v>
      </c>
      <c r="I324" s="6" t="s">
        <v>165</v>
      </c>
      <c r="J324" s="6" t="s">
        <v>150</v>
      </c>
      <c r="K324" s="6" t="s">
        <v>166</v>
      </c>
      <c r="L324" s="6" t="s">
        <v>211</v>
      </c>
      <c r="M324" s="6">
        <v>0.5</v>
      </c>
      <c r="N324" s="7">
        <v>8500</v>
      </c>
      <c r="O324" s="7"/>
      <c r="P324" s="6" t="s">
        <v>27</v>
      </c>
      <c r="Q324" s="6" t="s">
        <v>432</v>
      </c>
      <c r="R324" s="4">
        <v>44147</v>
      </c>
      <c r="S324" s="6" t="s">
        <v>29</v>
      </c>
      <c r="T324" s="6" t="s">
        <v>36</v>
      </c>
    </row>
    <row r="325" spans="1:20" x14ac:dyDescent="0.35">
      <c r="A325" s="4">
        <v>44116</v>
      </c>
      <c r="B325" s="5"/>
      <c r="C325" s="5"/>
      <c r="D325" s="5"/>
      <c r="E325" s="5"/>
      <c r="F325" s="6" t="s">
        <v>430</v>
      </c>
      <c r="G325" s="6" t="s">
        <v>431</v>
      </c>
      <c r="H325" s="6" t="s">
        <v>200</v>
      </c>
      <c r="I325" s="6" t="s">
        <v>201</v>
      </c>
      <c r="J325" s="6" t="s">
        <v>150</v>
      </c>
      <c r="K325" s="6" t="s">
        <v>166</v>
      </c>
      <c r="L325" s="6" t="s">
        <v>206</v>
      </c>
      <c r="M325" s="6">
        <v>1</v>
      </c>
      <c r="N325" s="7">
        <v>6750</v>
      </c>
      <c r="O325" s="7"/>
      <c r="P325" s="6" t="s">
        <v>27</v>
      </c>
      <c r="Q325" s="6" t="s">
        <v>432</v>
      </c>
      <c r="R325" s="4">
        <v>44147</v>
      </c>
      <c r="S325" s="6" t="s">
        <v>29</v>
      </c>
      <c r="T325" s="6" t="s">
        <v>36</v>
      </c>
    </row>
    <row r="326" spans="1:20" x14ac:dyDescent="0.35">
      <c r="A326" s="4">
        <v>44116</v>
      </c>
      <c r="B326" s="5"/>
      <c r="C326" s="5"/>
      <c r="D326" s="5"/>
      <c r="E326" s="5"/>
      <c r="F326" s="6" t="s">
        <v>433</v>
      </c>
      <c r="G326" s="6" t="s">
        <v>434</v>
      </c>
      <c r="H326" s="6" t="s">
        <v>200</v>
      </c>
      <c r="I326" s="6" t="s">
        <v>201</v>
      </c>
      <c r="J326" s="6" t="s">
        <v>150</v>
      </c>
      <c r="K326" s="6" t="s">
        <v>166</v>
      </c>
      <c r="L326" s="6" t="s">
        <v>206</v>
      </c>
      <c r="M326" s="6">
        <v>3</v>
      </c>
      <c r="N326" s="7">
        <v>6750</v>
      </c>
      <c r="O326" s="7"/>
      <c r="P326" s="6" t="s">
        <v>27</v>
      </c>
      <c r="Q326" s="6" t="s">
        <v>435</v>
      </c>
      <c r="R326" s="4">
        <v>44147</v>
      </c>
      <c r="S326" s="6" t="s">
        <v>29</v>
      </c>
      <c r="T326" s="6" t="s">
        <v>30</v>
      </c>
    </row>
    <row r="327" spans="1:20" x14ac:dyDescent="0.35">
      <c r="A327" s="4">
        <v>44116</v>
      </c>
      <c r="B327" s="5"/>
      <c r="C327" s="5"/>
      <c r="D327" s="5"/>
      <c r="E327" s="5"/>
      <c r="F327" s="6" t="s">
        <v>433</v>
      </c>
      <c r="G327" s="6" t="s">
        <v>434</v>
      </c>
      <c r="H327" s="6" t="s">
        <v>44</v>
      </c>
      <c r="I327" s="6" t="s">
        <v>149</v>
      </c>
      <c r="J327" s="6" t="s">
        <v>150</v>
      </c>
      <c r="K327" s="6" t="s">
        <v>151</v>
      </c>
      <c r="L327" s="6" t="s">
        <v>266</v>
      </c>
      <c r="M327" s="6">
        <v>1</v>
      </c>
      <c r="N327" s="7">
        <v>13600</v>
      </c>
      <c r="O327" s="7"/>
      <c r="P327" s="6" t="s">
        <v>27</v>
      </c>
      <c r="Q327" s="6" t="s">
        <v>435</v>
      </c>
      <c r="R327" s="4">
        <v>44147</v>
      </c>
      <c r="S327" s="6" t="s">
        <v>29</v>
      </c>
      <c r="T327" s="6" t="s">
        <v>30</v>
      </c>
    </row>
    <row r="328" spans="1:20" x14ac:dyDescent="0.35">
      <c r="A328" s="4">
        <v>44116</v>
      </c>
      <c r="B328" s="5"/>
      <c r="C328" s="5"/>
      <c r="D328" s="5"/>
      <c r="E328" s="5"/>
      <c r="F328" s="6" t="s">
        <v>92</v>
      </c>
      <c r="G328" s="6" t="s">
        <v>93</v>
      </c>
      <c r="H328" s="6" t="s">
        <v>200</v>
      </c>
      <c r="I328" s="6" t="s">
        <v>201</v>
      </c>
      <c r="J328" s="6" t="s">
        <v>150</v>
      </c>
      <c r="K328" s="6" t="s">
        <v>166</v>
      </c>
      <c r="L328" s="6" t="s">
        <v>206</v>
      </c>
      <c r="M328" s="6">
        <v>3</v>
      </c>
      <c r="N328" s="7">
        <v>6750</v>
      </c>
      <c r="O328" s="7"/>
      <c r="P328" s="6" t="s">
        <v>27</v>
      </c>
      <c r="Q328" s="6" t="s">
        <v>94</v>
      </c>
      <c r="R328" s="4">
        <v>44147</v>
      </c>
      <c r="S328" s="6" t="s">
        <v>29</v>
      </c>
      <c r="T328" s="6" t="s">
        <v>30</v>
      </c>
    </row>
    <row r="329" spans="1:20" x14ac:dyDescent="0.35">
      <c r="A329" s="4">
        <v>44116</v>
      </c>
      <c r="B329" s="5"/>
      <c r="C329" s="5"/>
      <c r="D329" s="5"/>
      <c r="E329" s="5"/>
      <c r="F329" s="6" t="s">
        <v>92</v>
      </c>
      <c r="G329" s="6" t="s">
        <v>93</v>
      </c>
      <c r="H329" s="6" t="s">
        <v>364</v>
      </c>
      <c r="I329" s="6" t="s">
        <v>365</v>
      </c>
      <c r="J329" s="6" t="s">
        <v>150</v>
      </c>
      <c r="K329" s="6" t="s">
        <v>366</v>
      </c>
      <c r="L329" s="6" t="s">
        <v>367</v>
      </c>
      <c r="M329" s="6">
        <v>2</v>
      </c>
      <c r="N329" s="7">
        <v>4200</v>
      </c>
      <c r="O329" s="7"/>
      <c r="P329" s="6" t="s">
        <v>27</v>
      </c>
      <c r="Q329" s="6" t="s">
        <v>94</v>
      </c>
      <c r="R329" s="4">
        <v>44147</v>
      </c>
      <c r="S329" s="6" t="s">
        <v>29</v>
      </c>
      <c r="T329" s="6" t="s">
        <v>30</v>
      </c>
    </row>
    <row r="330" spans="1:20" x14ac:dyDescent="0.35">
      <c r="A330" s="4">
        <v>44116</v>
      </c>
      <c r="B330" s="5"/>
      <c r="C330" s="5"/>
      <c r="D330" s="5"/>
      <c r="E330" s="5"/>
      <c r="F330" s="6" t="s">
        <v>436</v>
      </c>
      <c r="G330" s="6" t="s">
        <v>437</v>
      </c>
      <c r="H330" s="6" t="s">
        <v>191</v>
      </c>
      <c r="I330" s="6" t="s">
        <v>192</v>
      </c>
      <c r="J330" s="6" t="s">
        <v>150</v>
      </c>
      <c r="K330" s="6" t="s">
        <v>151</v>
      </c>
      <c r="L330" s="6" t="s">
        <v>193</v>
      </c>
      <c r="M330" s="6">
        <v>5</v>
      </c>
      <c r="N330" s="7">
        <v>9050</v>
      </c>
      <c r="O330" s="7"/>
      <c r="P330" s="6" t="s">
        <v>27</v>
      </c>
      <c r="Q330" s="6" t="s">
        <v>438</v>
      </c>
      <c r="R330" s="4">
        <v>44147</v>
      </c>
      <c r="S330" s="6" t="s">
        <v>85</v>
      </c>
      <c r="T330" s="6" t="s">
        <v>36</v>
      </c>
    </row>
    <row r="331" spans="1:20" x14ac:dyDescent="0.35">
      <c r="A331" s="4">
        <v>44116</v>
      </c>
      <c r="B331" s="5"/>
      <c r="C331" s="5"/>
      <c r="D331" s="5"/>
      <c r="E331" s="5"/>
      <c r="F331" s="6" t="s">
        <v>439</v>
      </c>
      <c r="G331" s="6" t="s">
        <v>440</v>
      </c>
      <c r="H331" s="6" t="s">
        <v>44</v>
      </c>
      <c r="I331" s="6" t="s">
        <v>149</v>
      </c>
      <c r="J331" s="6" t="s">
        <v>150</v>
      </c>
      <c r="K331" s="6" t="s">
        <v>151</v>
      </c>
      <c r="L331" s="6" t="s">
        <v>152</v>
      </c>
      <c r="M331" s="6">
        <v>3</v>
      </c>
      <c r="N331" s="7">
        <v>11200</v>
      </c>
      <c r="O331" s="7"/>
      <c r="P331" s="6" t="s">
        <v>27</v>
      </c>
      <c r="Q331" s="6" t="s">
        <v>61</v>
      </c>
      <c r="R331" s="4">
        <v>44147</v>
      </c>
      <c r="S331" s="6" t="s">
        <v>29</v>
      </c>
      <c r="T331" s="6" t="s">
        <v>30</v>
      </c>
    </row>
    <row r="332" spans="1:20" x14ac:dyDescent="0.35">
      <c r="A332" s="4">
        <v>44116</v>
      </c>
      <c r="B332" s="5"/>
      <c r="C332" s="5"/>
      <c r="D332" s="5"/>
      <c r="E332" s="5"/>
      <c r="F332" s="6" t="s">
        <v>441</v>
      </c>
      <c r="G332" s="6" t="s">
        <v>442</v>
      </c>
      <c r="H332" s="6" t="s">
        <v>340</v>
      </c>
      <c r="I332" s="6" t="s">
        <v>341</v>
      </c>
      <c r="J332" s="6" t="s">
        <v>150</v>
      </c>
      <c r="K332" s="6" t="s">
        <v>242</v>
      </c>
      <c r="L332" s="6" t="s">
        <v>344</v>
      </c>
      <c r="M332" s="6">
        <v>1</v>
      </c>
      <c r="N332" s="6">
        <v>1</v>
      </c>
      <c r="O332" s="7"/>
      <c r="P332" s="6" t="s">
        <v>27</v>
      </c>
      <c r="Q332" s="6" t="s">
        <v>443</v>
      </c>
      <c r="R332" s="4">
        <v>44147</v>
      </c>
      <c r="S332" s="6" t="s">
        <v>29</v>
      </c>
      <c r="T332" s="6" t="s">
        <v>65</v>
      </c>
    </row>
    <row r="333" spans="1:20" x14ac:dyDescent="0.35">
      <c r="A333" s="4">
        <v>44116</v>
      </c>
      <c r="B333" s="5"/>
      <c r="C333" s="5"/>
      <c r="D333" s="5"/>
      <c r="E333" s="5"/>
      <c r="F333" s="6" t="s">
        <v>441</v>
      </c>
      <c r="G333" s="6" t="s">
        <v>442</v>
      </c>
      <c r="H333" s="6" t="s">
        <v>340</v>
      </c>
      <c r="I333" s="6" t="s">
        <v>341</v>
      </c>
      <c r="J333" s="6" t="s">
        <v>150</v>
      </c>
      <c r="K333" s="6" t="s">
        <v>242</v>
      </c>
      <c r="L333" s="6" t="s">
        <v>342</v>
      </c>
      <c r="M333" s="6">
        <v>1</v>
      </c>
      <c r="N333" s="7">
        <v>1500</v>
      </c>
      <c r="O333" s="7"/>
      <c r="P333" s="6" t="s">
        <v>27</v>
      </c>
      <c r="Q333" s="6" t="s">
        <v>443</v>
      </c>
      <c r="R333" s="4">
        <v>44147</v>
      </c>
      <c r="S333" s="6" t="s">
        <v>29</v>
      </c>
      <c r="T333" s="6" t="s">
        <v>65</v>
      </c>
    </row>
    <row r="334" spans="1:20" x14ac:dyDescent="0.35">
      <c r="A334" s="4">
        <v>44116</v>
      </c>
      <c r="B334" s="5"/>
      <c r="C334" s="5"/>
      <c r="D334" s="5"/>
      <c r="E334" s="5"/>
      <c r="F334" s="6" t="s">
        <v>444</v>
      </c>
      <c r="G334" s="6" t="s">
        <v>445</v>
      </c>
      <c r="H334" s="6" t="s">
        <v>176</v>
      </c>
      <c r="I334" s="6" t="s">
        <v>177</v>
      </c>
      <c r="J334" s="6" t="s">
        <v>150</v>
      </c>
      <c r="K334" s="6" t="s">
        <v>157</v>
      </c>
      <c r="L334" s="6" t="s">
        <v>178</v>
      </c>
      <c r="M334" s="6">
        <v>6</v>
      </c>
      <c r="N334" s="7">
        <v>2000</v>
      </c>
      <c r="O334" s="7"/>
      <c r="P334" s="6" t="s">
        <v>27</v>
      </c>
      <c r="Q334" s="6" t="s">
        <v>446</v>
      </c>
      <c r="R334" s="4">
        <v>44147</v>
      </c>
      <c r="S334" s="6" t="s">
        <v>29</v>
      </c>
      <c r="T334" s="6" t="s">
        <v>65</v>
      </c>
    </row>
    <row r="335" spans="1:20" x14ac:dyDescent="0.35">
      <c r="A335" s="4">
        <v>44116</v>
      </c>
      <c r="B335" s="5"/>
      <c r="C335" s="5"/>
      <c r="D335" s="5"/>
      <c r="E335" s="5"/>
      <c r="F335" s="6" t="s">
        <v>444</v>
      </c>
      <c r="G335" s="6" t="s">
        <v>445</v>
      </c>
      <c r="H335" s="6" t="s">
        <v>164</v>
      </c>
      <c r="I335" s="6" t="s">
        <v>165</v>
      </c>
      <c r="J335" s="6" t="s">
        <v>150</v>
      </c>
      <c r="K335" s="6" t="s">
        <v>166</v>
      </c>
      <c r="L335" s="6" t="s">
        <v>167</v>
      </c>
      <c r="M335" s="6">
        <v>2</v>
      </c>
      <c r="N335" s="7">
        <v>7800</v>
      </c>
      <c r="O335" s="7"/>
      <c r="P335" s="6" t="s">
        <v>27</v>
      </c>
      <c r="Q335" s="6" t="s">
        <v>446</v>
      </c>
      <c r="R335" s="4">
        <v>44147</v>
      </c>
      <c r="S335" s="6" t="s">
        <v>29</v>
      </c>
      <c r="T335" s="6" t="s">
        <v>65</v>
      </c>
    </row>
    <row r="336" spans="1:20" x14ac:dyDescent="0.35">
      <c r="A336" s="4">
        <v>44116</v>
      </c>
      <c r="B336" s="5"/>
      <c r="C336" s="5"/>
      <c r="D336" s="5"/>
      <c r="E336" s="5"/>
      <c r="F336" s="6" t="s">
        <v>444</v>
      </c>
      <c r="G336" s="6" t="s">
        <v>445</v>
      </c>
      <c r="H336" s="6" t="s">
        <v>164</v>
      </c>
      <c r="I336" s="6" t="s">
        <v>165</v>
      </c>
      <c r="J336" s="6" t="s">
        <v>150</v>
      </c>
      <c r="K336" s="6" t="s">
        <v>166</v>
      </c>
      <c r="L336" s="6" t="s">
        <v>211</v>
      </c>
      <c r="M336" s="6">
        <v>2</v>
      </c>
      <c r="N336" s="7">
        <v>8500</v>
      </c>
      <c r="O336" s="7"/>
      <c r="P336" s="6" t="s">
        <v>27</v>
      </c>
      <c r="Q336" s="6" t="s">
        <v>446</v>
      </c>
      <c r="R336" s="4">
        <v>44147</v>
      </c>
      <c r="S336" s="6" t="s">
        <v>29</v>
      </c>
      <c r="T336" s="6" t="s">
        <v>65</v>
      </c>
    </row>
    <row r="337" spans="1:20" x14ac:dyDescent="0.35">
      <c r="A337" s="4">
        <v>44116</v>
      </c>
      <c r="B337" s="5"/>
      <c r="C337" s="5"/>
      <c r="D337" s="5"/>
      <c r="E337" s="5"/>
      <c r="F337" s="6" t="s">
        <v>444</v>
      </c>
      <c r="G337" s="6" t="s">
        <v>445</v>
      </c>
      <c r="H337" s="6" t="s">
        <v>340</v>
      </c>
      <c r="I337" s="6" t="s">
        <v>341</v>
      </c>
      <c r="J337" s="6" t="s">
        <v>150</v>
      </c>
      <c r="K337" s="6" t="s">
        <v>242</v>
      </c>
      <c r="L337" s="6" t="s">
        <v>342</v>
      </c>
      <c r="M337" s="6">
        <v>1</v>
      </c>
      <c r="N337" s="7">
        <v>1500</v>
      </c>
      <c r="O337" s="7"/>
      <c r="P337" s="6" t="s">
        <v>27</v>
      </c>
      <c r="Q337" s="6" t="s">
        <v>446</v>
      </c>
      <c r="R337" s="4">
        <v>44147</v>
      </c>
      <c r="S337" s="6" t="s">
        <v>29</v>
      </c>
      <c r="T337" s="6" t="s">
        <v>65</v>
      </c>
    </row>
    <row r="338" spans="1:20" x14ac:dyDescent="0.35">
      <c r="A338" s="4">
        <v>44116</v>
      </c>
      <c r="B338" s="5"/>
      <c r="C338" s="5"/>
      <c r="D338" s="5"/>
      <c r="E338" s="5"/>
      <c r="F338" s="6" t="s">
        <v>444</v>
      </c>
      <c r="G338" s="6" t="s">
        <v>445</v>
      </c>
      <c r="H338" s="6" t="s">
        <v>340</v>
      </c>
      <c r="I338" s="6" t="s">
        <v>341</v>
      </c>
      <c r="J338" s="6" t="s">
        <v>150</v>
      </c>
      <c r="K338" s="6" t="s">
        <v>242</v>
      </c>
      <c r="L338" s="6" t="s">
        <v>344</v>
      </c>
      <c r="M338" s="6">
        <v>1</v>
      </c>
      <c r="N338" s="6">
        <v>1</v>
      </c>
      <c r="O338" s="7"/>
      <c r="P338" s="6" t="s">
        <v>27</v>
      </c>
      <c r="Q338" s="6" t="s">
        <v>446</v>
      </c>
      <c r="R338" s="4">
        <v>44147</v>
      </c>
      <c r="S338" s="6" t="s">
        <v>29</v>
      </c>
      <c r="T338" s="6" t="s">
        <v>65</v>
      </c>
    </row>
    <row r="339" spans="1:20" x14ac:dyDescent="0.35">
      <c r="A339" s="4">
        <v>44086</v>
      </c>
      <c r="B339" s="5"/>
      <c r="C339" s="5"/>
      <c r="D339" s="5"/>
      <c r="E339" s="5"/>
      <c r="F339" s="6" t="s">
        <v>447</v>
      </c>
      <c r="G339" s="6" t="s">
        <v>160</v>
      </c>
      <c r="H339" s="6" t="s">
        <v>44</v>
      </c>
      <c r="I339" s="6" t="s">
        <v>156</v>
      </c>
      <c r="J339" s="6" t="s">
        <v>150</v>
      </c>
      <c r="K339" s="6" t="s">
        <v>157</v>
      </c>
      <c r="L339" s="6" t="s">
        <v>158</v>
      </c>
      <c r="M339" s="6">
        <v>5</v>
      </c>
      <c r="N339" s="7">
        <v>7450</v>
      </c>
      <c r="O339" s="7"/>
      <c r="P339" s="6" t="s">
        <v>27</v>
      </c>
      <c r="Q339" s="6" t="s">
        <v>61</v>
      </c>
      <c r="R339" s="4">
        <v>44147</v>
      </c>
      <c r="S339" s="6" t="s">
        <v>29</v>
      </c>
      <c r="T339" s="6" t="s">
        <v>65</v>
      </c>
    </row>
    <row r="340" spans="1:20" x14ac:dyDescent="0.35">
      <c r="A340" s="4">
        <v>44116</v>
      </c>
      <c r="B340" s="5"/>
      <c r="C340" s="5"/>
      <c r="D340" s="5"/>
      <c r="E340" s="5"/>
      <c r="F340" s="6" t="s">
        <v>448</v>
      </c>
      <c r="G340" s="6" t="s">
        <v>21</v>
      </c>
      <c r="H340" s="6" t="s">
        <v>44</v>
      </c>
      <c r="I340" s="6" t="s">
        <v>149</v>
      </c>
      <c r="J340" s="6" t="s">
        <v>150</v>
      </c>
      <c r="K340" s="6" t="s">
        <v>151</v>
      </c>
      <c r="L340" s="6" t="s">
        <v>155</v>
      </c>
      <c r="M340" s="6">
        <v>20</v>
      </c>
      <c r="N340" s="7">
        <v>9120</v>
      </c>
      <c r="O340" s="7"/>
      <c r="P340" s="6" t="s">
        <v>27</v>
      </c>
      <c r="Q340" s="6" t="s">
        <v>327</v>
      </c>
      <c r="R340" s="4">
        <v>44147</v>
      </c>
      <c r="S340" s="6" t="s">
        <v>29</v>
      </c>
      <c r="T340" s="6" t="s">
        <v>65</v>
      </c>
    </row>
    <row r="341" spans="1:20" x14ac:dyDescent="0.35">
      <c r="A341" s="4">
        <v>44116</v>
      </c>
      <c r="B341" s="5"/>
      <c r="C341" s="5"/>
      <c r="D341" s="5"/>
      <c r="E341" s="5"/>
      <c r="F341" s="6" t="s">
        <v>449</v>
      </c>
      <c r="G341" s="6" t="s">
        <v>21</v>
      </c>
      <c r="H341" s="6" t="s">
        <v>200</v>
      </c>
      <c r="I341" s="6" t="s">
        <v>201</v>
      </c>
      <c r="J341" s="6" t="s">
        <v>150</v>
      </c>
      <c r="K341" s="6" t="s">
        <v>166</v>
      </c>
      <c r="L341" s="6" t="s">
        <v>285</v>
      </c>
      <c r="M341" s="6">
        <v>3</v>
      </c>
      <c r="N341" s="7">
        <v>19170</v>
      </c>
      <c r="O341" s="7"/>
      <c r="P341" s="6" t="s">
        <v>27</v>
      </c>
      <c r="Q341" s="6" t="s">
        <v>327</v>
      </c>
      <c r="R341" s="4">
        <v>44147</v>
      </c>
      <c r="S341" s="6" t="s">
        <v>29</v>
      </c>
      <c r="T341" s="6" t="s">
        <v>65</v>
      </c>
    </row>
    <row r="342" spans="1:20" x14ac:dyDescent="0.35">
      <c r="A342" s="4">
        <v>44116</v>
      </c>
      <c r="B342" s="5"/>
      <c r="C342" s="5"/>
      <c r="D342" s="5"/>
      <c r="E342" s="5"/>
      <c r="F342" s="6" t="s">
        <v>450</v>
      </c>
      <c r="G342" s="6" t="s">
        <v>451</v>
      </c>
      <c r="H342" s="6" t="s">
        <v>200</v>
      </c>
      <c r="I342" s="6" t="s">
        <v>201</v>
      </c>
      <c r="J342" s="6" t="s">
        <v>150</v>
      </c>
      <c r="K342" s="6" t="s">
        <v>166</v>
      </c>
      <c r="L342" s="6" t="s">
        <v>206</v>
      </c>
      <c r="M342" s="6">
        <v>3</v>
      </c>
      <c r="N342" s="7">
        <v>6750</v>
      </c>
      <c r="O342" s="7"/>
      <c r="P342" s="6" t="s">
        <v>27</v>
      </c>
      <c r="Q342" s="6" t="s">
        <v>452</v>
      </c>
      <c r="R342" s="4">
        <v>44177</v>
      </c>
      <c r="S342" s="6" t="s">
        <v>29</v>
      </c>
      <c r="T342" s="6" t="s">
        <v>65</v>
      </c>
    </row>
    <row r="343" spans="1:20" x14ac:dyDescent="0.35">
      <c r="A343" s="4">
        <v>44116</v>
      </c>
      <c r="B343" s="5"/>
      <c r="C343" s="5"/>
      <c r="D343" s="5"/>
      <c r="E343" s="5"/>
      <c r="F343" s="6" t="s">
        <v>450</v>
      </c>
      <c r="G343" s="6" t="s">
        <v>451</v>
      </c>
      <c r="H343" s="6" t="s">
        <v>44</v>
      </c>
      <c r="I343" s="6" t="s">
        <v>156</v>
      </c>
      <c r="J343" s="6" t="s">
        <v>150</v>
      </c>
      <c r="K343" s="6" t="s">
        <v>157</v>
      </c>
      <c r="L343" s="6" t="s">
        <v>158</v>
      </c>
      <c r="M343" s="6">
        <v>1</v>
      </c>
      <c r="N343" s="7">
        <v>7450</v>
      </c>
      <c r="O343" s="7"/>
      <c r="P343" s="6" t="s">
        <v>27</v>
      </c>
      <c r="Q343" s="6" t="s">
        <v>452</v>
      </c>
      <c r="R343" s="4">
        <v>44177</v>
      </c>
      <c r="S343" s="6" t="s">
        <v>29</v>
      </c>
      <c r="T343" s="6" t="s">
        <v>36</v>
      </c>
    </row>
    <row r="344" spans="1:20" x14ac:dyDescent="0.35">
      <c r="A344" s="4">
        <v>44116</v>
      </c>
      <c r="B344" s="5"/>
      <c r="C344" s="5"/>
      <c r="D344" s="5"/>
      <c r="E344" s="5"/>
      <c r="F344" s="6" t="s">
        <v>450</v>
      </c>
      <c r="G344" s="6" t="s">
        <v>451</v>
      </c>
      <c r="H344" s="6" t="s">
        <v>44</v>
      </c>
      <c r="I344" s="6" t="s">
        <v>149</v>
      </c>
      <c r="J344" s="6" t="s">
        <v>150</v>
      </c>
      <c r="K344" s="6" t="s">
        <v>151</v>
      </c>
      <c r="L344" s="6" t="s">
        <v>155</v>
      </c>
      <c r="M344" s="6">
        <v>2</v>
      </c>
      <c r="N344" s="7">
        <v>9120</v>
      </c>
      <c r="O344" s="7"/>
      <c r="P344" s="6" t="s">
        <v>27</v>
      </c>
      <c r="Q344" s="6" t="s">
        <v>452</v>
      </c>
      <c r="R344" s="4">
        <v>44177</v>
      </c>
      <c r="S344" s="6" t="s">
        <v>29</v>
      </c>
      <c r="T344" s="6" t="s">
        <v>36</v>
      </c>
    </row>
    <row r="345" spans="1:20" x14ac:dyDescent="0.35">
      <c r="A345" s="4">
        <v>44147</v>
      </c>
      <c r="B345" s="5"/>
      <c r="C345" s="5"/>
      <c r="D345" s="5"/>
      <c r="E345" s="5"/>
      <c r="F345" s="6" t="s">
        <v>453</v>
      </c>
      <c r="G345" s="6" t="s">
        <v>21</v>
      </c>
      <c r="H345" s="6" t="s">
        <v>44</v>
      </c>
      <c r="I345" s="6" t="s">
        <v>149</v>
      </c>
      <c r="J345" s="6" t="s">
        <v>150</v>
      </c>
      <c r="K345" s="6" t="s">
        <v>151</v>
      </c>
      <c r="L345" s="6" t="s">
        <v>152</v>
      </c>
      <c r="M345" s="6">
        <v>3</v>
      </c>
      <c r="N345" s="7">
        <v>11200</v>
      </c>
      <c r="O345" s="7"/>
      <c r="P345" s="6" t="s">
        <v>27</v>
      </c>
      <c r="Q345" s="6" t="s">
        <v>28</v>
      </c>
      <c r="R345" s="4">
        <v>44177</v>
      </c>
      <c r="S345" s="6" t="s">
        <v>29</v>
      </c>
      <c r="T345" s="6" t="s">
        <v>30</v>
      </c>
    </row>
    <row r="346" spans="1:20" x14ac:dyDescent="0.35">
      <c r="A346" s="4">
        <v>44147</v>
      </c>
      <c r="B346" s="5"/>
      <c r="C346" s="5"/>
      <c r="D346" s="5"/>
      <c r="E346" s="5"/>
      <c r="F346" s="6" t="s">
        <v>453</v>
      </c>
      <c r="G346" s="6" t="s">
        <v>21</v>
      </c>
      <c r="H346" s="6" t="s">
        <v>44</v>
      </c>
      <c r="I346" s="6" t="s">
        <v>149</v>
      </c>
      <c r="J346" s="6" t="s">
        <v>150</v>
      </c>
      <c r="K346" s="6" t="s">
        <v>151</v>
      </c>
      <c r="L346" s="6" t="s">
        <v>188</v>
      </c>
      <c r="M346" s="6">
        <v>1</v>
      </c>
      <c r="N346" s="7">
        <v>9350</v>
      </c>
      <c r="O346" s="7"/>
      <c r="P346" s="6" t="s">
        <v>27</v>
      </c>
      <c r="Q346" s="6" t="s">
        <v>28</v>
      </c>
      <c r="R346" s="4">
        <v>44177</v>
      </c>
      <c r="S346" s="6" t="s">
        <v>29</v>
      </c>
      <c r="T346" s="6" t="s">
        <v>30</v>
      </c>
    </row>
    <row r="347" spans="1:20" x14ac:dyDescent="0.35">
      <c r="A347" s="4">
        <v>44147</v>
      </c>
      <c r="B347" s="5"/>
      <c r="C347" s="5"/>
      <c r="D347" s="5"/>
      <c r="E347" s="5"/>
      <c r="F347" s="6" t="s">
        <v>95</v>
      </c>
      <c r="G347" s="6" t="s">
        <v>96</v>
      </c>
      <c r="H347" s="6" t="s">
        <v>39</v>
      </c>
      <c r="I347" s="6" t="s">
        <v>172</v>
      </c>
      <c r="J347" s="6" t="s">
        <v>150</v>
      </c>
      <c r="K347" s="6" t="s">
        <v>166</v>
      </c>
      <c r="L347" s="6" t="s">
        <v>454</v>
      </c>
      <c r="M347" s="6">
        <v>1</v>
      </c>
      <c r="N347" s="7">
        <v>12400</v>
      </c>
      <c r="O347" s="7"/>
      <c r="P347" s="6" t="s">
        <v>27</v>
      </c>
      <c r="Q347" s="6" t="s">
        <v>97</v>
      </c>
      <c r="R347" s="4">
        <v>44177</v>
      </c>
      <c r="S347" s="6" t="s">
        <v>85</v>
      </c>
      <c r="T347" s="6" t="s">
        <v>36</v>
      </c>
    </row>
    <row r="348" spans="1:20" x14ac:dyDescent="0.35">
      <c r="A348" s="4">
        <v>44147</v>
      </c>
      <c r="B348" s="5"/>
      <c r="C348" s="5"/>
      <c r="D348" s="5"/>
      <c r="E348" s="5"/>
      <c r="F348" s="6" t="s">
        <v>95</v>
      </c>
      <c r="G348" s="6" t="s">
        <v>96</v>
      </c>
      <c r="H348" s="6" t="s">
        <v>200</v>
      </c>
      <c r="I348" s="6" t="s">
        <v>201</v>
      </c>
      <c r="J348" s="6" t="s">
        <v>150</v>
      </c>
      <c r="K348" s="6" t="s">
        <v>166</v>
      </c>
      <c r="L348" s="6" t="s">
        <v>206</v>
      </c>
      <c r="M348" s="6">
        <v>10</v>
      </c>
      <c r="N348" s="7">
        <v>6750</v>
      </c>
      <c r="O348" s="7"/>
      <c r="P348" s="6" t="s">
        <v>27</v>
      </c>
      <c r="Q348" s="6" t="s">
        <v>97</v>
      </c>
      <c r="R348" s="4">
        <v>44177</v>
      </c>
      <c r="S348" s="6" t="s">
        <v>85</v>
      </c>
      <c r="T348" s="6" t="s">
        <v>36</v>
      </c>
    </row>
    <row r="349" spans="1:20" x14ac:dyDescent="0.35">
      <c r="A349" s="4">
        <v>44147</v>
      </c>
      <c r="B349" s="5"/>
      <c r="C349" s="5"/>
      <c r="D349" s="5"/>
      <c r="E349" s="5"/>
      <c r="F349" s="6" t="s">
        <v>455</v>
      </c>
      <c r="G349" s="6" t="s">
        <v>456</v>
      </c>
      <c r="H349" s="6" t="s">
        <v>39</v>
      </c>
      <c r="I349" s="6" t="s">
        <v>268</v>
      </c>
      <c r="J349" s="6" t="s">
        <v>150</v>
      </c>
      <c r="K349" s="6" t="s">
        <v>166</v>
      </c>
      <c r="L349" s="6" t="s">
        <v>457</v>
      </c>
      <c r="M349" s="6">
        <v>1</v>
      </c>
      <c r="N349" s="7">
        <v>3750</v>
      </c>
      <c r="O349" s="7"/>
      <c r="P349" s="6" t="s">
        <v>27</v>
      </c>
      <c r="Q349" s="6" t="s">
        <v>145</v>
      </c>
      <c r="R349" s="4">
        <v>44177</v>
      </c>
      <c r="S349" s="6" t="s">
        <v>29</v>
      </c>
      <c r="T349" s="6" t="s">
        <v>30</v>
      </c>
    </row>
    <row r="350" spans="1:20" x14ac:dyDescent="0.35">
      <c r="A350" s="4">
        <v>44147</v>
      </c>
      <c r="B350" s="5"/>
      <c r="C350" s="5"/>
      <c r="D350" s="5"/>
      <c r="E350" s="5"/>
      <c r="F350" s="6" t="s">
        <v>455</v>
      </c>
      <c r="G350" s="6" t="s">
        <v>456</v>
      </c>
      <c r="H350" s="6" t="s">
        <v>39</v>
      </c>
      <c r="I350" s="6" t="s">
        <v>172</v>
      </c>
      <c r="J350" s="6" t="s">
        <v>150</v>
      </c>
      <c r="K350" s="6" t="s">
        <v>166</v>
      </c>
      <c r="L350" s="6" t="s">
        <v>203</v>
      </c>
      <c r="M350" s="6">
        <v>1</v>
      </c>
      <c r="N350" s="7">
        <v>3750</v>
      </c>
      <c r="O350" s="7"/>
      <c r="P350" s="6" t="s">
        <v>27</v>
      </c>
      <c r="Q350" s="6" t="s">
        <v>145</v>
      </c>
      <c r="R350" s="4">
        <v>44177</v>
      </c>
      <c r="S350" s="6" t="s">
        <v>29</v>
      </c>
      <c r="T350" s="6" t="s">
        <v>30</v>
      </c>
    </row>
    <row r="351" spans="1:20" x14ac:dyDescent="0.35">
      <c r="A351" s="4">
        <v>44147</v>
      </c>
      <c r="B351" s="5"/>
      <c r="C351" s="5"/>
      <c r="D351" s="5"/>
      <c r="E351" s="5"/>
      <c r="F351" s="6" t="s">
        <v>455</v>
      </c>
      <c r="G351" s="6" t="s">
        <v>456</v>
      </c>
      <c r="H351" s="6" t="s">
        <v>44</v>
      </c>
      <c r="I351" s="6" t="s">
        <v>156</v>
      </c>
      <c r="J351" s="6" t="s">
        <v>150</v>
      </c>
      <c r="K351" s="6" t="s">
        <v>157</v>
      </c>
      <c r="L351" s="6" t="s">
        <v>247</v>
      </c>
      <c r="M351" s="6">
        <v>0.25</v>
      </c>
      <c r="N351" s="7">
        <v>7050</v>
      </c>
      <c r="O351" s="7"/>
      <c r="P351" s="6" t="s">
        <v>27</v>
      </c>
      <c r="Q351" s="6" t="s">
        <v>145</v>
      </c>
      <c r="R351" s="4">
        <v>44177</v>
      </c>
      <c r="S351" s="6" t="s">
        <v>29</v>
      </c>
      <c r="T351" s="6" t="s">
        <v>30</v>
      </c>
    </row>
    <row r="352" spans="1:20" x14ac:dyDescent="0.35">
      <c r="A352" s="4">
        <v>44147</v>
      </c>
      <c r="B352" s="5"/>
      <c r="C352" s="5"/>
      <c r="D352" s="5"/>
      <c r="E352" s="5"/>
      <c r="F352" s="6" t="s">
        <v>458</v>
      </c>
      <c r="G352" s="6" t="s">
        <v>142</v>
      </c>
      <c r="H352" s="6" t="s">
        <v>200</v>
      </c>
      <c r="I352" s="6" t="s">
        <v>201</v>
      </c>
      <c r="J352" s="6" t="s">
        <v>150</v>
      </c>
      <c r="K352" s="6" t="s">
        <v>166</v>
      </c>
      <c r="L352" s="6" t="s">
        <v>213</v>
      </c>
      <c r="M352" s="6">
        <v>2</v>
      </c>
      <c r="N352" s="7">
        <v>8500</v>
      </c>
      <c r="O352" s="7"/>
      <c r="P352" s="6" t="s">
        <v>27</v>
      </c>
      <c r="Q352" s="6" t="s">
        <v>396</v>
      </c>
      <c r="R352" s="4">
        <v>44177</v>
      </c>
      <c r="S352" s="6" t="s">
        <v>85</v>
      </c>
      <c r="T352" s="6" t="s">
        <v>36</v>
      </c>
    </row>
    <row r="353" spans="1:20" x14ac:dyDescent="0.35">
      <c r="A353" s="4">
        <v>44147</v>
      </c>
      <c r="B353" s="5"/>
      <c r="C353" s="5"/>
      <c r="D353" s="5"/>
      <c r="E353" s="5"/>
      <c r="F353" s="6" t="s">
        <v>458</v>
      </c>
      <c r="G353" s="6" t="s">
        <v>142</v>
      </c>
      <c r="H353" s="6" t="s">
        <v>44</v>
      </c>
      <c r="I353" s="6" t="s">
        <v>149</v>
      </c>
      <c r="J353" s="6" t="s">
        <v>150</v>
      </c>
      <c r="K353" s="6" t="s">
        <v>151</v>
      </c>
      <c r="L353" s="6" t="s">
        <v>190</v>
      </c>
      <c r="M353" s="6">
        <v>1</v>
      </c>
      <c r="N353" s="7">
        <v>10050</v>
      </c>
      <c r="O353" s="7"/>
      <c r="P353" s="6" t="s">
        <v>27</v>
      </c>
      <c r="Q353" s="6" t="s">
        <v>396</v>
      </c>
      <c r="R353" s="4">
        <v>44177</v>
      </c>
      <c r="S353" s="6" t="s">
        <v>85</v>
      </c>
      <c r="T353" s="6" t="s">
        <v>36</v>
      </c>
    </row>
    <row r="354" spans="1:20" x14ac:dyDescent="0.35">
      <c r="A354" s="4">
        <v>44147</v>
      </c>
      <c r="B354" s="5"/>
      <c r="C354" s="5"/>
      <c r="D354" s="5"/>
      <c r="E354" s="5"/>
      <c r="F354" s="6" t="s">
        <v>458</v>
      </c>
      <c r="G354" s="6" t="s">
        <v>142</v>
      </c>
      <c r="H354" s="6" t="s">
        <v>44</v>
      </c>
      <c r="I354" s="6" t="s">
        <v>156</v>
      </c>
      <c r="J354" s="6" t="s">
        <v>150</v>
      </c>
      <c r="K354" s="6" t="s">
        <v>157</v>
      </c>
      <c r="L354" s="6" t="s">
        <v>158</v>
      </c>
      <c r="M354" s="6">
        <v>2</v>
      </c>
      <c r="N354" s="7">
        <v>7450</v>
      </c>
      <c r="O354" s="7"/>
      <c r="P354" s="6" t="s">
        <v>27</v>
      </c>
      <c r="Q354" s="6" t="s">
        <v>396</v>
      </c>
      <c r="R354" s="4">
        <v>44177</v>
      </c>
      <c r="S354" s="6" t="s">
        <v>85</v>
      </c>
      <c r="T354" s="6" t="s">
        <v>65</v>
      </c>
    </row>
    <row r="355" spans="1:20" x14ac:dyDescent="0.35">
      <c r="A355" s="4">
        <v>44147</v>
      </c>
      <c r="B355" s="5"/>
      <c r="C355" s="5"/>
      <c r="D355" s="5"/>
      <c r="E355" s="5"/>
      <c r="F355" s="6" t="s">
        <v>459</v>
      </c>
      <c r="G355" s="6" t="s">
        <v>198</v>
      </c>
      <c r="H355" s="6" t="s">
        <v>191</v>
      </c>
      <c r="I355" s="6" t="s">
        <v>192</v>
      </c>
      <c r="J355" s="6" t="s">
        <v>150</v>
      </c>
      <c r="K355" s="6" t="s">
        <v>151</v>
      </c>
      <c r="L355" s="6" t="s">
        <v>193</v>
      </c>
      <c r="M355" s="6">
        <v>1</v>
      </c>
      <c r="N355" s="7">
        <v>9050</v>
      </c>
      <c r="O355" s="7"/>
      <c r="P355" s="6" t="s">
        <v>27</v>
      </c>
      <c r="Q355" s="6" t="s">
        <v>460</v>
      </c>
      <c r="R355" s="4">
        <v>44177</v>
      </c>
      <c r="S355" s="6" t="s">
        <v>29</v>
      </c>
      <c r="T355" s="6" t="s">
        <v>65</v>
      </c>
    </row>
    <row r="356" spans="1:20" x14ac:dyDescent="0.35">
      <c r="A356" s="4">
        <v>44147</v>
      </c>
      <c r="B356" s="5"/>
      <c r="C356" s="5"/>
      <c r="D356" s="5"/>
      <c r="E356" s="5"/>
      <c r="F356" s="6" t="s">
        <v>459</v>
      </c>
      <c r="G356" s="6" t="s">
        <v>198</v>
      </c>
      <c r="H356" s="6" t="s">
        <v>200</v>
      </c>
      <c r="I356" s="6" t="s">
        <v>201</v>
      </c>
      <c r="J356" s="6" t="s">
        <v>150</v>
      </c>
      <c r="K356" s="6" t="s">
        <v>166</v>
      </c>
      <c r="L356" s="6" t="s">
        <v>206</v>
      </c>
      <c r="M356" s="6">
        <v>1</v>
      </c>
      <c r="N356" s="7">
        <v>6750</v>
      </c>
      <c r="O356" s="7"/>
      <c r="P356" s="6" t="s">
        <v>27</v>
      </c>
      <c r="Q356" s="6" t="s">
        <v>460</v>
      </c>
      <c r="R356" s="4">
        <v>44177</v>
      </c>
      <c r="S356" s="6" t="s">
        <v>29</v>
      </c>
      <c r="T356" s="6" t="s">
        <v>65</v>
      </c>
    </row>
    <row r="357" spans="1:20" x14ac:dyDescent="0.35">
      <c r="A357" s="4">
        <v>44147</v>
      </c>
      <c r="B357" s="5"/>
      <c r="C357" s="5"/>
      <c r="D357" s="5"/>
      <c r="E357" s="5"/>
      <c r="F357" s="6" t="s">
        <v>459</v>
      </c>
      <c r="G357" s="6" t="s">
        <v>198</v>
      </c>
      <c r="H357" s="6" t="s">
        <v>44</v>
      </c>
      <c r="I357" s="6" t="s">
        <v>149</v>
      </c>
      <c r="J357" s="6" t="s">
        <v>150</v>
      </c>
      <c r="K357" s="6" t="s">
        <v>151</v>
      </c>
      <c r="L357" s="6" t="s">
        <v>155</v>
      </c>
      <c r="M357" s="6">
        <v>2</v>
      </c>
      <c r="N357" s="7">
        <v>9150</v>
      </c>
      <c r="O357" s="7"/>
      <c r="P357" s="6" t="s">
        <v>27</v>
      </c>
      <c r="Q357" s="6" t="s">
        <v>460</v>
      </c>
      <c r="R357" s="4">
        <v>44177</v>
      </c>
      <c r="S357" s="6" t="s">
        <v>29</v>
      </c>
      <c r="T357" s="6" t="s">
        <v>65</v>
      </c>
    </row>
    <row r="358" spans="1:20" x14ac:dyDescent="0.35">
      <c r="A358" s="4">
        <v>44147</v>
      </c>
      <c r="B358" s="5"/>
      <c r="C358" s="5"/>
      <c r="D358" s="5"/>
      <c r="E358" s="5"/>
      <c r="F358" s="6" t="s">
        <v>461</v>
      </c>
      <c r="G358" s="6" t="s">
        <v>462</v>
      </c>
      <c r="H358" s="6" t="s">
        <v>44</v>
      </c>
      <c r="I358" s="6" t="s">
        <v>149</v>
      </c>
      <c r="J358" s="6" t="s">
        <v>150</v>
      </c>
      <c r="K358" s="6" t="s">
        <v>151</v>
      </c>
      <c r="L358" s="6" t="s">
        <v>152</v>
      </c>
      <c r="M358" s="6">
        <v>3</v>
      </c>
      <c r="N358" s="7">
        <v>11200</v>
      </c>
      <c r="O358" s="7"/>
      <c r="P358" s="6" t="s">
        <v>27</v>
      </c>
      <c r="Q358" s="6" t="s">
        <v>97</v>
      </c>
      <c r="R358" s="4">
        <v>44177</v>
      </c>
      <c r="S358" s="6" t="s">
        <v>56</v>
      </c>
      <c r="T358" s="6" t="s">
        <v>65</v>
      </c>
    </row>
    <row r="359" spans="1:20" x14ac:dyDescent="0.35">
      <c r="A359" s="4">
        <v>44147</v>
      </c>
      <c r="B359" s="5"/>
      <c r="C359" s="5"/>
      <c r="D359" s="5"/>
      <c r="E359" s="5"/>
      <c r="F359" s="6" t="s">
        <v>461</v>
      </c>
      <c r="G359" s="6" t="s">
        <v>462</v>
      </c>
      <c r="H359" s="6" t="s">
        <v>364</v>
      </c>
      <c r="I359" s="6" t="s">
        <v>365</v>
      </c>
      <c r="J359" s="6" t="s">
        <v>150</v>
      </c>
      <c r="K359" s="6" t="s">
        <v>366</v>
      </c>
      <c r="L359" s="6" t="s">
        <v>419</v>
      </c>
      <c r="M359" s="6">
        <v>2</v>
      </c>
      <c r="N359" s="7">
        <v>4200</v>
      </c>
      <c r="O359" s="7"/>
      <c r="P359" s="6" t="s">
        <v>27</v>
      </c>
      <c r="Q359" s="6" t="s">
        <v>97</v>
      </c>
      <c r="R359" s="4">
        <v>44177</v>
      </c>
      <c r="S359" s="6" t="s">
        <v>56</v>
      </c>
      <c r="T359" s="6" t="s">
        <v>65</v>
      </c>
    </row>
    <row r="360" spans="1:20" x14ac:dyDescent="0.35">
      <c r="A360" s="4">
        <v>44147</v>
      </c>
      <c r="B360" s="5"/>
      <c r="C360" s="5"/>
      <c r="D360" s="5"/>
      <c r="E360" s="5"/>
      <c r="F360" s="6" t="s">
        <v>463</v>
      </c>
      <c r="G360" s="6" t="s">
        <v>237</v>
      </c>
      <c r="H360" s="6" t="s">
        <v>364</v>
      </c>
      <c r="I360" s="6" t="s">
        <v>365</v>
      </c>
      <c r="J360" s="6" t="s">
        <v>150</v>
      </c>
      <c r="K360" s="6" t="s">
        <v>366</v>
      </c>
      <c r="L360" s="6" t="s">
        <v>367</v>
      </c>
      <c r="M360" s="6">
        <v>2</v>
      </c>
      <c r="N360" s="7">
        <v>4200</v>
      </c>
      <c r="O360" s="7"/>
      <c r="P360" s="6" t="s">
        <v>27</v>
      </c>
      <c r="Q360" s="6" t="s">
        <v>228</v>
      </c>
      <c r="R360" s="4">
        <v>44177</v>
      </c>
      <c r="S360" s="6" t="s">
        <v>29</v>
      </c>
      <c r="T360" s="6" t="s">
        <v>65</v>
      </c>
    </row>
    <row r="361" spans="1:20" x14ac:dyDescent="0.35">
      <c r="A361" s="4">
        <v>44147</v>
      </c>
      <c r="B361" s="5"/>
      <c r="C361" s="5"/>
      <c r="D361" s="5"/>
      <c r="E361" s="5"/>
      <c r="F361" s="6" t="s">
        <v>463</v>
      </c>
      <c r="G361" s="6" t="s">
        <v>237</v>
      </c>
      <c r="H361" s="6" t="s">
        <v>364</v>
      </c>
      <c r="I361" s="6" t="s">
        <v>365</v>
      </c>
      <c r="J361" s="6" t="s">
        <v>150</v>
      </c>
      <c r="K361" s="6" t="s">
        <v>366</v>
      </c>
      <c r="L361" s="6" t="s">
        <v>419</v>
      </c>
      <c r="M361" s="6">
        <v>1</v>
      </c>
      <c r="N361" s="7">
        <v>4200</v>
      </c>
      <c r="O361" s="7"/>
      <c r="P361" s="6" t="s">
        <v>27</v>
      </c>
      <c r="Q361" s="6" t="s">
        <v>228</v>
      </c>
      <c r="R361" s="4">
        <v>44177</v>
      </c>
      <c r="S361" s="6" t="s">
        <v>29</v>
      </c>
      <c r="T361" s="6" t="s">
        <v>65</v>
      </c>
    </row>
    <row r="362" spans="1:20" x14ac:dyDescent="0.35">
      <c r="A362" s="4">
        <v>44147</v>
      </c>
      <c r="B362" s="5"/>
      <c r="C362" s="5"/>
      <c r="D362" s="5"/>
      <c r="E362" s="5"/>
      <c r="F362" s="6" t="s">
        <v>463</v>
      </c>
      <c r="G362" s="6" t="s">
        <v>237</v>
      </c>
      <c r="H362" s="6" t="s">
        <v>176</v>
      </c>
      <c r="I362" s="6" t="s">
        <v>177</v>
      </c>
      <c r="J362" s="6" t="s">
        <v>150</v>
      </c>
      <c r="K362" s="6" t="s">
        <v>157</v>
      </c>
      <c r="L362" s="6" t="s">
        <v>178</v>
      </c>
      <c r="M362" s="6">
        <v>1</v>
      </c>
      <c r="N362" s="7">
        <v>2000</v>
      </c>
      <c r="O362" s="7"/>
      <c r="P362" s="6" t="s">
        <v>27</v>
      </c>
      <c r="Q362" s="6" t="s">
        <v>228</v>
      </c>
      <c r="R362" s="4">
        <v>44177</v>
      </c>
      <c r="S362" s="6" t="s">
        <v>29</v>
      </c>
      <c r="T362" s="6" t="s">
        <v>65</v>
      </c>
    </row>
    <row r="363" spans="1:20" x14ac:dyDescent="0.35">
      <c r="A363" s="4">
        <v>44147</v>
      </c>
      <c r="B363" s="5"/>
      <c r="C363" s="5"/>
      <c r="D363" s="5"/>
      <c r="E363" s="5"/>
      <c r="F363" s="6" t="s">
        <v>464</v>
      </c>
      <c r="G363" s="6" t="s">
        <v>264</v>
      </c>
      <c r="H363" s="6" t="s">
        <v>200</v>
      </c>
      <c r="I363" s="6" t="s">
        <v>201</v>
      </c>
      <c r="J363" s="6" t="s">
        <v>150</v>
      </c>
      <c r="K363" s="6" t="s">
        <v>166</v>
      </c>
      <c r="L363" s="6" t="s">
        <v>206</v>
      </c>
      <c r="M363" s="6">
        <v>1</v>
      </c>
      <c r="N363" s="7">
        <v>6750</v>
      </c>
      <c r="O363" s="7"/>
      <c r="P363" s="6" t="s">
        <v>27</v>
      </c>
      <c r="Q363" s="6" t="s">
        <v>265</v>
      </c>
      <c r="R363" s="4">
        <v>44177</v>
      </c>
      <c r="S363" s="6" t="s">
        <v>29</v>
      </c>
      <c r="T363" s="6" t="s">
        <v>65</v>
      </c>
    </row>
    <row r="364" spans="1:20" x14ac:dyDescent="0.35">
      <c r="A364" s="4">
        <v>44147</v>
      </c>
      <c r="B364" s="5"/>
      <c r="C364" s="5"/>
      <c r="D364" s="5"/>
      <c r="E364" s="5"/>
      <c r="F364" s="6" t="s">
        <v>464</v>
      </c>
      <c r="G364" s="6" t="s">
        <v>264</v>
      </c>
      <c r="H364" s="6" t="s">
        <v>39</v>
      </c>
      <c r="I364" s="6" t="s">
        <v>172</v>
      </c>
      <c r="J364" s="6" t="s">
        <v>150</v>
      </c>
      <c r="K364" s="6" t="s">
        <v>166</v>
      </c>
      <c r="L364" s="6" t="s">
        <v>454</v>
      </c>
      <c r="M364" s="6">
        <v>1</v>
      </c>
      <c r="N364" s="7">
        <v>12400</v>
      </c>
      <c r="O364" s="7"/>
      <c r="P364" s="6" t="s">
        <v>27</v>
      </c>
      <c r="Q364" s="6" t="s">
        <v>265</v>
      </c>
      <c r="R364" s="4">
        <v>44177</v>
      </c>
      <c r="S364" s="6" t="s">
        <v>29</v>
      </c>
      <c r="T364" s="6" t="s">
        <v>65</v>
      </c>
    </row>
    <row r="365" spans="1:20" x14ac:dyDescent="0.35">
      <c r="A365" s="4">
        <v>44147</v>
      </c>
      <c r="B365" s="5"/>
      <c r="C365" s="5"/>
      <c r="D365" s="5"/>
      <c r="E365" s="5"/>
      <c r="F365" s="6" t="s">
        <v>465</v>
      </c>
      <c r="G365" s="6" t="s">
        <v>466</v>
      </c>
      <c r="H365" s="6" t="s">
        <v>200</v>
      </c>
      <c r="I365" s="6" t="s">
        <v>201</v>
      </c>
      <c r="J365" s="6" t="s">
        <v>150</v>
      </c>
      <c r="K365" s="6" t="s">
        <v>166</v>
      </c>
      <c r="L365" s="6" t="s">
        <v>206</v>
      </c>
      <c r="M365" s="6">
        <v>1</v>
      </c>
      <c r="N365" s="7">
        <v>6750</v>
      </c>
      <c r="O365" s="7"/>
      <c r="P365" s="6" t="s">
        <v>27</v>
      </c>
      <c r="Q365" s="6" t="s">
        <v>110</v>
      </c>
      <c r="R365" s="4">
        <v>44177</v>
      </c>
      <c r="S365" s="6" t="s">
        <v>29</v>
      </c>
      <c r="T365" s="6" t="s">
        <v>65</v>
      </c>
    </row>
    <row r="366" spans="1:20" x14ac:dyDescent="0.35">
      <c r="A366" s="4">
        <v>44147</v>
      </c>
      <c r="B366" s="5"/>
      <c r="C366" s="5"/>
      <c r="D366" s="5"/>
      <c r="E366" s="5"/>
      <c r="F366" s="6" t="s">
        <v>465</v>
      </c>
      <c r="G366" s="6" t="s">
        <v>466</v>
      </c>
      <c r="H366" s="6" t="s">
        <v>200</v>
      </c>
      <c r="I366" s="6" t="s">
        <v>201</v>
      </c>
      <c r="J366" s="6" t="s">
        <v>150</v>
      </c>
      <c r="K366" s="6" t="s">
        <v>166</v>
      </c>
      <c r="L366" s="6" t="s">
        <v>213</v>
      </c>
      <c r="M366" s="6">
        <v>0.5</v>
      </c>
      <c r="N366" s="7">
        <v>8500</v>
      </c>
      <c r="O366" s="7"/>
      <c r="P366" s="6" t="s">
        <v>27</v>
      </c>
      <c r="Q366" s="6" t="s">
        <v>110</v>
      </c>
      <c r="R366" s="4">
        <v>44177</v>
      </c>
      <c r="S366" s="6" t="s">
        <v>29</v>
      </c>
      <c r="T366" s="6" t="s">
        <v>65</v>
      </c>
    </row>
    <row r="367" spans="1:20" x14ac:dyDescent="0.35">
      <c r="A367" s="4">
        <v>44147</v>
      </c>
      <c r="B367" s="5"/>
      <c r="C367" s="5"/>
      <c r="D367" s="5"/>
      <c r="E367" s="5"/>
      <c r="F367" s="6" t="s">
        <v>465</v>
      </c>
      <c r="G367" s="6" t="s">
        <v>466</v>
      </c>
      <c r="H367" s="6" t="s">
        <v>191</v>
      </c>
      <c r="I367" s="6" t="s">
        <v>192</v>
      </c>
      <c r="J367" s="6" t="s">
        <v>150</v>
      </c>
      <c r="K367" s="6" t="s">
        <v>151</v>
      </c>
      <c r="L367" s="6" t="s">
        <v>193</v>
      </c>
      <c r="M367" s="6">
        <v>0.5</v>
      </c>
      <c r="N367" s="7">
        <v>9050</v>
      </c>
      <c r="O367" s="7"/>
      <c r="P367" s="6" t="s">
        <v>27</v>
      </c>
      <c r="Q367" s="6" t="s">
        <v>110</v>
      </c>
      <c r="R367" s="4">
        <v>44177</v>
      </c>
      <c r="S367" s="6" t="s">
        <v>29</v>
      </c>
      <c r="T367" s="6" t="s">
        <v>65</v>
      </c>
    </row>
    <row r="368" spans="1:20" x14ac:dyDescent="0.35">
      <c r="A368" s="4">
        <v>44147</v>
      </c>
      <c r="B368" s="5"/>
      <c r="C368" s="5"/>
      <c r="D368" s="5"/>
      <c r="E368" s="5"/>
      <c r="F368" s="6" t="s">
        <v>465</v>
      </c>
      <c r="G368" s="6" t="s">
        <v>466</v>
      </c>
      <c r="H368" s="6" t="s">
        <v>191</v>
      </c>
      <c r="I368" s="6" t="s">
        <v>192</v>
      </c>
      <c r="J368" s="6" t="s">
        <v>150</v>
      </c>
      <c r="K368" s="6" t="s">
        <v>151</v>
      </c>
      <c r="L368" s="6" t="s">
        <v>256</v>
      </c>
      <c r="M368" s="6">
        <v>0.5</v>
      </c>
      <c r="N368" s="7">
        <v>11150</v>
      </c>
      <c r="O368" s="7"/>
      <c r="P368" s="6" t="s">
        <v>27</v>
      </c>
      <c r="Q368" s="6" t="s">
        <v>110</v>
      </c>
      <c r="R368" s="4">
        <v>44177</v>
      </c>
      <c r="S368" s="6" t="s">
        <v>29</v>
      </c>
      <c r="T368" s="6" t="s">
        <v>65</v>
      </c>
    </row>
    <row r="369" spans="1:20" x14ac:dyDescent="0.35">
      <c r="A369" s="4">
        <v>44147</v>
      </c>
      <c r="B369" s="5"/>
      <c r="C369" s="5"/>
      <c r="D369" s="5"/>
      <c r="E369" s="5"/>
      <c r="F369" s="6" t="s">
        <v>465</v>
      </c>
      <c r="G369" s="6" t="s">
        <v>466</v>
      </c>
      <c r="H369" s="6" t="s">
        <v>44</v>
      </c>
      <c r="I369" s="6" t="s">
        <v>156</v>
      </c>
      <c r="J369" s="6" t="s">
        <v>150</v>
      </c>
      <c r="K369" s="6" t="s">
        <v>157</v>
      </c>
      <c r="L369" s="6" t="s">
        <v>247</v>
      </c>
      <c r="M369" s="6">
        <v>1</v>
      </c>
      <c r="N369" s="7">
        <v>7050</v>
      </c>
      <c r="O369" s="7"/>
      <c r="P369" s="6" t="s">
        <v>27</v>
      </c>
      <c r="Q369" s="6" t="s">
        <v>110</v>
      </c>
      <c r="R369" s="4">
        <v>44177</v>
      </c>
      <c r="S369" s="6" t="s">
        <v>29</v>
      </c>
      <c r="T369" s="6" t="s">
        <v>65</v>
      </c>
    </row>
    <row r="370" spans="1:20" x14ac:dyDescent="0.35">
      <c r="A370" s="4">
        <v>44147</v>
      </c>
      <c r="B370" s="5"/>
      <c r="C370" s="5"/>
      <c r="D370" s="5"/>
      <c r="E370" s="5"/>
      <c r="F370" s="6" t="s">
        <v>467</v>
      </c>
      <c r="G370" s="6" t="s">
        <v>148</v>
      </c>
      <c r="H370" s="6" t="s">
        <v>44</v>
      </c>
      <c r="I370" s="6" t="s">
        <v>149</v>
      </c>
      <c r="J370" s="6" t="s">
        <v>150</v>
      </c>
      <c r="K370" s="6" t="s">
        <v>151</v>
      </c>
      <c r="L370" s="6" t="s">
        <v>155</v>
      </c>
      <c r="M370" s="6">
        <v>2</v>
      </c>
      <c r="N370" s="7">
        <v>9150</v>
      </c>
      <c r="O370" s="7"/>
      <c r="P370" s="6" t="s">
        <v>27</v>
      </c>
      <c r="Q370" s="6" t="s">
        <v>153</v>
      </c>
      <c r="R370" s="4">
        <v>44177</v>
      </c>
      <c r="S370" s="6" t="s">
        <v>29</v>
      </c>
      <c r="T370" s="6" t="s">
        <v>65</v>
      </c>
    </row>
    <row r="371" spans="1:20" x14ac:dyDescent="0.35">
      <c r="A371" s="4">
        <v>44147</v>
      </c>
      <c r="B371" s="5"/>
      <c r="C371" s="5"/>
      <c r="D371" s="5"/>
      <c r="E371" s="5"/>
      <c r="F371" s="6" t="s">
        <v>467</v>
      </c>
      <c r="G371" s="6" t="s">
        <v>148</v>
      </c>
      <c r="H371" s="6" t="s">
        <v>44</v>
      </c>
      <c r="I371" s="6" t="s">
        <v>156</v>
      </c>
      <c r="J371" s="6" t="s">
        <v>150</v>
      </c>
      <c r="K371" s="6" t="s">
        <v>157</v>
      </c>
      <c r="L371" s="6" t="s">
        <v>247</v>
      </c>
      <c r="M371" s="6">
        <v>1</v>
      </c>
      <c r="N371" s="7">
        <v>7050</v>
      </c>
      <c r="O371" s="7"/>
      <c r="P371" s="6" t="s">
        <v>27</v>
      </c>
      <c r="Q371" s="6" t="s">
        <v>153</v>
      </c>
      <c r="R371" s="4">
        <v>44177</v>
      </c>
      <c r="S371" s="6" t="s">
        <v>29</v>
      </c>
      <c r="T371" s="6" t="s">
        <v>36</v>
      </c>
    </row>
    <row r="372" spans="1:20" x14ac:dyDescent="0.35">
      <c r="A372" s="4">
        <v>44147</v>
      </c>
      <c r="B372" s="5"/>
      <c r="C372" s="5"/>
      <c r="D372" s="5"/>
      <c r="E372" s="5"/>
      <c r="F372" s="6" t="s">
        <v>467</v>
      </c>
      <c r="G372" s="6" t="s">
        <v>148</v>
      </c>
      <c r="H372" s="6" t="s">
        <v>382</v>
      </c>
      <c r="I372" s="6" t="s">
        <v>383</v>
      </c>
      <c r="J372" s="6" t="s">
        <v>150</v>
      </c>
      <c r="K372" s="6" t="s">
        <v>157</v>
      </c>
      <c r="L372" s="6" t="s">
        <v>384</v>
      </c>
      <c r="M372" s="6">
        <v>2</v>
      </c>
      <c r="N372" s="7">
        <v>1550</v>
      </c>
      <c r="O372" s="7"/>
      <c r="P372" s="6" t="s">
        <v>27</v>
      </c>
      <c r="Q372" s="6" t="s">
        <v>153</v>
      </c>
      <c r="R372" s="4">
        <v>44177</v>
      </c>
      <c r="S372" s="6" t="s">
        <v>29</v>
      </c>
      <c r="T372" s="6" t="s">
        <v>36</v>
      </c>
    </row>
    <row r="373" spans="1:20" x14ac:dyDescent="0.35">
      <c r="A373" s="4">
        <v>44147</v>
      </c>
      <c r="B373" s="5"/>
      <c r="C373" s="5"/>
      <c r="D373" s="5"/>
      <c r="E373" s="5"/>
      <c r="F373" s="6" t="s">
        <v>468</v>
      </c>
      <c r="G373" s="6" t="s">
        <v>404</v>
      </c>
      <c r="H373" s="6" t="s">
        <v>44</v>
      </c>
      <c r="I373" s="6" t="s">
        <v>156</v>
      </c>
      <c r="J373" s="6" t="s">
        <v>150</v>
      </c>
      <c r="K373" s="6" t="s">
        <v>157</v>
      </c>
      <c r="L373" s="6" t="s">
        <v>247</v>
      </c>
      <c r="M373" s="6">
        <v>10</v>
      </c>
      <c r="N373" s="7">
        <v>7050</v>
      </c>
      <c r="O373" s="7"/>
      <c r="P373" s="6" t="s">
        <v>27</v>
      </c>
      <c r="Q373" s="6" t="s">
        <v>87</v>
      </c>
      <c r="R373" s="4">
        <v>44177</v>
      </c>
      <c r="S373" s="6" t="s">
        <v>29</v>
      </c>
      <c r="T373" s="6" t="s">
        <v>36</v>
      </c>
    </row>
    <row r="374" spans="1:20" x14ac:dyDescent="0.35">
      <c r="A374" s="4">
        <v>44147</v>
      </c>
      <c r="B374" s="5"/>
      <c r="C374" s="5"/>
      <c r="D374" s="5"/>
      <c r="E374" s="5"/>
      <c r="F374" s="6" t="s">
        <v>469</v>
      </c>
      <c r="G374" s="6" t="s">
        <v>160</v>
      </c>
      <c r="H374" s="6" t="s">
        <v>44</v>
      </c>
      <c r="I374" s="6" t="s">
        <v>149</v>
      </c>
      <c r="J374" s="6" t="s">
        <v>150</v>
      </c>
      <c r="K374" s="6" t="s">
        <v>151</v>
      </c>
      <c r="L374" s="6" t="s">
        <v>152</v>
      </c>
      <c r="M374" s="6">
        <v>2</v>
      </c>
      <c r="N374" s="7">
        <v>11200</v>
      </c>
      <c r="O374" s="7"/>
      <c r="P374" s="6" t="s">
        <v>27</v>
      </c>
      <c r="Q374" s="6" t="s">
        <v>61</v>
      </c>
      <c r="R374" s="4">
        <v>44177</v>
      </c>
      <c r="S374" s="6" t="s">
        <v>29</v>
      </c>
      <c r="T374" s="6" t="s">
        <v>30</v>
      </c>
    </row>
    <row r="375" spans="1:20" x14ac:dyDescent="0.35">
      <c r="A375" s="4">
        <v>44147</v>
      </c>
      <c r="B375" s="5"/>
      <c r="C375" s="5"/>
      <c r="D375" s="5"/>
      <c r="E375" s="5"/>
      <c r="F375" s="6" t="s">
        <v>469</v>
      </c>
      <c r="G375" s="6" t="s">
        <v>160</v>
      </c>
      <c r="H375" s="6" t="s">
        <v>200</v>
      </c>
      <c r="I375" s="6" t="s">
        <v>201</v>
      </c>
      <c r="J375" s="6" t="s">
        <v>150</v>
      </c>
      <c r="K375" s="6" t="s">
        <v>166</v>
      </c>
      <c r="L375" s="6" t="s">
        <v>213</v>
      </c>
      <c r="M375" s="6">
        <v>2</v>
      </c>
      <c r="N375" s="7">
        <v>8500</v>
      </c>
      <c r="O375" s="7"/>
      <c r="P375" s="6" t="s">
        <v>27</v>
      </c>
      <c r="Q375" s="6" t="s">
        <v>61</v>
      </c>
      <c r="R375" s="4">
        <v>44177</v>
      </c>
      <c r="S375" s="6" t="s">
        <v>29</v>
      </c>
      <c r="T375" s="6" t="s">
        <v>30</v>
      </c>
    </row>
    <row r="376" spans="1:20" x14ac:dyDescent="0.35">
      <c r="A376" s="4">
        <v>44147</v>
      </c>
      <c r="B376" s="5"/>
      <c r="C376" s="5"/>
      <c r="D376" s="5"/>
      <c r="E376" s="5"/>
      <c r="F376" s="6" t="s">
        <v>470</v>
      </c>
      <c r="G376" s="6" t="s">
        <v>254</v>
      </c>
      <c r="H376" s="6" t="s">
        <v>44</v>
      </c>
      <c r="I376" s="6" t="s">
        <v>156</v>
      </c>
      <c r="J376" s="6" t="s">
        <v>150</v>
      </c>
      <c r="K376" s="6" t="s">
        <v>157</v>
      </c>
      <c r="L376" s="6" t="s">
        <v>247</v>
      </c>
      <c r="M376" s="6">
        <v>15</v>
      </c>
      <c r="N376" s="7">
        <v>7050</v>
      </c>
      <c r="O376" s="7"/>
      <c r="P376" s="6" t="s">
        <v>27</v>
      </c>
      <c r="Q376" s="6" t="s">
        <v>255</v>
      </c>
      <c r="R376" s="4">
        <v>44177</v>
      </c>
      <c r="S376" s="6" t="s">
        <v>29</v>
      </c>
      <c r="T376" s="6" t="s">
        <v>36</v>
      </c>
    </row>
    <row r="377" spans="1:20" x14ac:dyDescent="0.35">
      <c r="A377" s="4">
        <v>44147</v>
      </c>
      <c r="B377" s="5"/>
      <c r="C377" s="5"/>
      <c r="D377" s="5"/>
      <c r="E377" s="5"/>
      <c r="F377" s="6" t="s">
        <v>471</v>
      </c>
      <c r="G377" s="6" t="s">
        <v>254</v>
      </c>
      <c r="H377" s="6" t="s">
        <v>191</v>
      </c>
      <c r="I377" s="6" t="s">
        <v>192</v>
      </c>
      <c r="J377" s="6" t="s">
        <v>150</v>
      </c>
      <c r="K377" s="6" t="s">
        <v>151</v>
      </c>
      <c r="L377" s="6" t="s">
        <v>193</v>
      </c>
      <c r="M377" s="6">
        <v>5</v>
      </c>
      <c r="N377" s="7">
        <v>9050</v>
      </c>
      <c r="O377" s="7"/>
      <c r="P377" s="6" t="s">
        <v>27</v>
      </c>
      <c r="Q377" s="6" t="s">
        <v>255</v>
      </c>
      <c r="R377" s="4">
        <v>44177</v>
      </c>
      <c r="S377" s="6" t="s">
        <v>29</v>
      </c>
      <c r="T377" s="6" t="s">
        <v>36</v>
      </c>
    </row>
    <row r="378" spans="1:20" x14ac:dyDescent="0.35">
      <c r="A378" s="4">
        <v>44147</v>
      </c>
      <c r="B378" s="5"/>
      <c r="C378" s="5"/>
      <c r="D378" s="5"/>
      <c r="E378" s="5"/>
      <c r="F378" s="6" t="s">
        <v>472</v>
      </c>
      <c r="G378" s="6" t="s">
        <v>254</v>
      </c>
      <c r="H378" s="6" t="s">
        <v>44</v>
      </c>
      <c r="I378" s="6" t="s">
        <v>156</v>
      </c>
      <c r="J378" s="6" t="s">
        <v>150</v>
      </c>
      <c r="K378" s="6" t="s">
        <v>157</v>
      </c>
      <c r="L378" s="6" t="s">
        <v>247</v>
      </c>
      <c r="M378" s="6">
        <v>10</v>
      </c>
      <c r="N378" s="7">
        <v>7050</v>
      </c>
      <c r="O378" s="7"/>
      <c r="P378" s="6" t="s">
        <v>27</v>
      </c>
      <c r="Q378" s="6" t="s">
        <v>255</v>
      </c>
      <c r="R378" s="4">
        <v>44177</v>
      </c>
      <c r="S378" s="6" t="s">
        <v>29</v>
      </c>
      <c r="T378" s="6" t="s">
        <v>36</v>
      </c>
    </row>
    <row r="379" spans="1:20" x14ac:dyDescent="0.35">
      <c r="A379" s="4">
        <v>44147</v>
      </c>
      <c r="B379" s="5"/>
      <c r="C379" s="5"/>
      <c r="D379" s="5"/>
      <c r="E379" s="5"/>
      <c r="F379" s="6" t="s">
        <v>472</v>
      </c>
      <c r="G379" s="6" t="s">
        <v>254</v>
      </c>
      <c r="H379" s="6" t="s">
        <v>219</v>
      </c>
      <c r="I379" s="6" t="s">
        <v>220</v>
      </c>
      <c r="J379" s="6" t="s">
        <v>150</v>
      </c>
      <c r="K379" s="6" t="s">
        <v>221</v>
      </c>
      <c r="L379" s="6" t="s">
        <v>222</v>
      </c>
      <c r="M379" s="6">
        <v>5</v>
      </c>
      <c r="N379" s="7">
        <v>4200</v>
      </c>
      <c r="O379" s="7"/>
      <c r="P379" s="6" t="s">
        <v>27</v>
      </c>
      <c r="Q379" s="6" t="s">
        <v>255</v>
      </c>
      <c r="R379" s="4">
        <v>44177</v>
      </c>
      <c r="S379" s="6" t="s">
        <v>29</v>
      </c>
      <c r="T379" s="6" t="s">
        <v>36</v>
      </c>
    </row>
    <row r="380" spans="1:20" x14ac:dyDescent="0.35">
      <c r="A380" s="4">
        <v>44147</v>
      </c>
      <c r="B380" s="5"/>
      <c r="C380" s="5"/>
      <c r="D380" s="5"/>
      <c r="E380" s="5"/>
      <c r="F380" s="6" t="s">
        <v>473</v>
      </c>
      <c r="G380" s="6" t="s">
        <v>474</v>
      </c>
      <c r="H380" s="6" t="s">
        <v>340</v>
      </c>
      <c r="I380" s="6" t="s">
        <v>341</v>
      </c>
      <c r="J380" s="6" t="s">
        <v>150</v>
      </c>
      <c r="K380" s="6" t="s">
        <v>242</v>
      </c>
      <c r="L380" s="6" t="s">
        <v>342</v>
      </c>
      <c r="M380" s="6">
        <v>1</v>
      </c>
      <c r="N380" s="7">
        <v>1500</v>
      </c>
      <c r="O380" s="7"/>
      <c r="P380" s="6" t="s">
        <v>27</v>
      </c>
      <c r="Q380" s="6" t="s">
        <v>343</v>
      </c>
      <c r="R380" s="4">
        <v>44177</v>
      </c>
      <c r="S380" s="6" t="s">
        <v>29</v>
      </c>
      <c r="T380" s="6" t="s">
        <v>65</v>
      </c>
    </row>
    <row r="381" spans="1:20" x14ac:dyDescent="0.35">
      <c r="A381" s="4">
        <v>44147</v>
      </c>
      <c r="B381" s="5"/>
      <c r="C381" s="5"/>
      <c r="D381" s="5"/>
      <c r="E381" s="5"/>
      <c r="F381" s="6" t="s">
        <v>473</v>
      </c>
      <c r="G381" s="6" t="s">
        <v>474</v>
      </c>
      <c r="H381" s="6" t="s">
        <v>340</v>
      </c>
      <c r="I381" s="6" t="s">
        <v>341</v>
      </c>
      <c r="J381" s="6" t="s">
        <v>150</v>
      </c>
      <c r="K381" s="6" t="s">
        <v>242</v>
      </c>
      <c r="L381" s="6" t="s">
        <v>344</v>
      </c>
      <c r="M381" s="6">
        <v>1</v>
      </c>
      <c r="N381" s="6">
        <v>1</v>
      </c>
      <c r="O381" s="7"/>
      <c r="P381" s="6" t="s">
        <v>27</v>
      </c>
      <c r="Q381" s="6" t="s">
        <v>343</v>
      </c>
      <c r="R381" s="4">
        <v>44177</v>
      </c>
      <c r="S381" s="6" t="s">
        <v>29</v>
      </c>
      <c r="T381" s="6" t="s">
        <v>65</v>
      </c>
    </row>
    <row r="382" spans="1:20" x14ac:dyDescent="0.35">
      <c r="A382" s="4">
        <v>44147</v>
      </c>
      <c r="B382" s="5"/>
      <c r="C382" s="5"/>
      <c r="D382" s="5"/>
      <c r="E382" s="5"/>
      <c r="F382" s="6" t="s">
        <v>98</v>
      </c>
      <c r="G382" s="6" t="s">
        <v>99</v>
      </c>
      <c r="H382" s="6" t="s">
        <v>44</v>
      </c>
      <c r="I382" s="6" t="s">
        <v>149</v>
      </c>
      <c r="J382" s="6" t="s">
        <v>150</v>
      </c>
      <c r="K382" s="6" t="s">
        <v>151</v>
      </c>
      <c r="L382" s="6" t="s">
        <v>152</v>
      </c>
      <c r="M382" s="6">
        <v>1</v>
      </c>
      <c r="N382" s="7">
        <v>11200</v>
      </c>
      <c r="O382" s="7"/>
      <c r="P382" s="6" t="s">
        <v>27</v>
      </c>
      <c r="Q382" s="6" t="s">
        <v>102</v>
      </c>
      <c r="R382" s="4">
        <v>44177</v>
      </c>
      <c r="S382" s="6" t="s">
        <v>29</v>
      </c>
      <c r="T382" s="6" t="s">
        <v>65</v>
      </c>
    </row>
    <row r="383" spans="1:20" x14ac:dyDescent="0.35">
      <c r="A383" s="4">
        <v>44147</v>
      </c>
      <c r="B383" s="5"/>
      <c r="C383" s="5"/>
      <c r="D383" s="5"/>
      <c r="E383" s="5"/>
      <c r="F383" s="6" t="s">
        <v>98</v>
      </c>
      <c r="G383" s="6" t="s">
        <v>99</v>
      </c>
      <c r="H383" s="6" t="s">
        <v>39</v>
      </c>
      <c r="I383" s="6" t="s">
        <v>172</v>
      </c>
      <c r="J383" s="6" t="s">
        <v>150</v>
      </c>
      <c r="K383" s="6" t="s">
        <v>166</v>
      </c>
      <c r="L383" s="6" t="s">
        <v>475</v>
      </c>
      <c r="M383" s="6">
        <v>1</v>
      </c>
      <c r="N383" s="7">
        <v>14700</v>
      </c>
      <c r="O383" s="7"/>
      <c r="P383" s="6" t="s">
        <v>27</v>
      </c>
      <c r="Q383" s="6" t="s">
        <v>102</v>
      </c>
      <c r="R383" s="4">
        <v>44177</v>
      </c>
      <c r="S383" s="6" t="s">
        <v>29</v>
      </c>
      <c r="T383" s="6" t="s">
        <v>65</v>
      </c>
    </row>
    <row r="384" spans="1:20" x14ac:dyDescent="0.35">
      <c r="A384" s="4">
        <v>44147</v>
      </c>
      <c r="B384" s="5"/>
      <c r="C384" s="5"/>
      <c r="D384" s="5"/>
      <c r="E384" s="5"/>
      <c r="F384" s="6" t="s">
        <v>98</v>
      </c>
      <c r="G384" s="6" t="s">
        <v>99</v>
      </c>
      <c r="H384" s="6" t="s">
        <v>200</v>
      </c>
      <c r="I384" s="6" t="s">
        <v>201</v>
      </c>
      <c r="J384" s="6" t="s">
        <v>150</v>
      </c>
      <c r="K384" s="6" t="s">
        <v>166</v>
      </c>
      <c r="L384" s="6" t="s">
        <v>285</v>
      </c>
      <c r="M384" s="6">
        <v>0.5</v>
      </c>
      <c r="N384" s="7">
        <v>19170</v>
      </c>
      <c r="O384" s="7"/>
      <c r="P384" s="6" t="s">
        <v>27</v>
      </c>
      <c r="Q384" s="6" t="s">
        <v>102</v>
      </c>
      <c r="R384" s="4">
        <v>44177</v>
      </c>
      <c r="S384" s="6" t="s">
        <v>29</v>
      </c>
      <c r="T384" s="6" t="s">
        <v>65</v>
      </c>
    </row>
    <row r="385" spans="1:20" x14ac:dyDescent="0.35">
      <c r="A385" s="4">
        <v>44147</v>
      </c>
      <c r="B385" s="5"/>
      <c r="C385" s="5"/>
      <c r="D385" s="5"/>
      <c r="E385" s="5"/>
      <c r="F385" s="6" t="s">
        <v>98</v>
      </c>
      <c r="G385" s="6" t="s">
        <v>99</v>
      </c>
      <c r="H385" s="6" t="s">
        <v>200</v>
      </c>
      <c r="I385" s="6" t="s">
        <v>201</v>
      </c>
      <c r="J385" s="6" t="s">
        <v>150</v>
      </c>
      <c r="K385" s="6" t="s">
        <v>166</v>
      </c>
      <c r="L385" s="6" t="s">
        <v>213</v>
      </c>
      <c r="M385" s="6">
        <v>1</v>
      </c>
      <c r="N385" s="7">
        <v>8500</v>
      </c>
      <c r="O385" s="7"/>
      <c r="P385" s="6" t="s">
        <v>27</v>
      </c>
      <c r="Q385" s="6" t="s">
        <v>102</v>
      </c>
      <c r="R385" s="4">
        <v>44177</v>
      </c>
      <c r="S385" s="6" t="s">
        <v>29</v>
      </c>
      <c r="T385" s="6" t="s">
        <v>65</v>
      </c>
    </row>
    <row r="386" spans="1:20" x14ac:dyDescent="0.35">
      <c r="A386" s="4">
        <v>44147</v>
      </c>
      <c r="B386" s="5"/>
      <c r="C386" s="5"/>
      <c r="D386" s="5"/>
      <c r="E386" s="5"/>
      <c r="F386" s="6" t="s">
        <v>98</v>
      </c>
      <c r="G386" s="6" t="s">
        <v>99</v>
      </c>
      <c r="H386" s="6" t="s">
        <v>200</v>
      </c>
      <c r="I386" s="6" t="s">
        <v>201</v>
      </c>
      <c r="J386" s="6" t="s">
        <v>150</v>
      </c>
      <c r="K386" s="6" t="s">
        <v>166</v>
      </c>
      <c r="L386" s="6" t="s">
        <v>206</v>
      </c>
      <c r="M386" s="6">
        <v>1</v>
      </c>
      <c r="N386" s="7">
        <v>6750</v>
      </c>
      <c r="O386" s="7"/>
      <c r="P386" s="6" t="s">
        <v>27</v>
      </c>
      <c r="Q386" s="6" t="s">
        <v>102</v>
      </c>
      <c r="R386" s="4">
        <v>44177</v>
      </c>
      <c r="S386" s="6" t="s">
        <v>29</v>
      </c>
      <c r="T386" s="6" t="s">
        <v>36</v>
      </c>
    </row>
    <row r="387" spans="1:20" x14ac:dyDescent="0.35">
      <c r="A387" s="4">
        <v>44147</v>
      </c>
      <c r="B387" s="5"/>
      <c r="C387" s="5"/>
      <c r="D387" s="5"/>
      <c r="E387" s="5"/>
      <c r="F387" s="6" t="s">
        <v>98</v>
      </c>
      <c r="G387" s="6" t="s">
        <v>99</v>
      </c>
      <c r="H387" s="6" t="s">
        <v>200</v>
      </c>
      <c r="I387" s="6" t="s">
        <v>286</v>
      </c>
      <c r="J387" s="6" t="s">
        <v>150</v>
      </c>
      <c r="K387" s="6" t="s">
        <v>166</v>
      </c>
      <c r="L387" s="6" t="s">
        <v>287</v>
      </c>
      <c r="M387" s="6">
        <v>0.5</v>
      </c>
      <c r="N387" s="7">
        <v>23680</v>
      </c>
      <c r="O387" s="7"/>
      <c r="P387" s="6" t="s">
        <v>27</v>
      </c>
      <c r="Q387" s="6" t="s">
        <v>102</v>
      </c>
      <c r="R387" s="4">
        <v>44177</v>
      </c>
      <c r="S387" s="6" t="s">
        <v>29</v>
      </c>
      <c r="T387" s="6" t="s">
        <v>36</v>
      </c>
    </row>
    <row r="388" spans="1:20" x14ac:dyDescent="0.35">
      <c r="A388" s="4">
        <v>44147</v>
      </c>
      <c r="B388" s="5"/>
      <c r="C388" s="5"/>
      <c r="D388" s="5"/>
      <c r="E388" s="5"/>
      <c r="F388" s="6" t="s">
        <v>476</v>
      </c>
      <c r="G388" s="6" t="s">
        <v>477</v>
      </c>
      <c r="H388" s="6" t="s">
        <v>39</v>
      </c>
      <c r="I388" s="6" t="s">
        <v>172</v>
      </c>
      <c r="J388" s="6" t="s">
        <v>150</v>
      </c>
      <c r="K388" s="6" t="s">
        <v>166</v>
      </c>
      <c r="L388" s="6" t="s">
        <v>302</v>
      </c>
      <c r="M388" s="6">
        <v>2</v>
      </c>
      <c r="N388" s="7">
        <v>9100</v>
      </c>
      <c r="O388" s="7"/>
      <c r="P388" s="6" t="s">
        <v>27</v>
      </c>
      <c r="Q388" s="6" t="s">
        <v>478</v>
      </c>
      <c r="R388" s="4">
        <v>44177</v>
      </c>
      <c r="S388" s="6" t="s">
        <v>29</v>
      </c>
      <c r="T388" s="6" t="s">
        <v>36</v>
      </c>
    </row>
    <row r="389" spans="1:20" x14ac:dyDescent="0.35">
      <c r="A389" s="4">
        <v>44177</v>
      </c>
      <c r="B389" s="5"/>
      <c r="C389" s="5"/>
      <c r="D389" s="5"/>
      <c r="E389" s="5"/>
      <c r="F389" s="6" t="s">
        <v>143</v>
      </c>
      <c r="G389" s="6" t="s">
        <v>144</v>
      </c>
      <c r="H389" s="6" t="s">
        <v>164</v>
      </c>
      <c r="I389" s="6" t="s">
        <v>165</v>
      </c>
      <c r="J389" s="6" t="s">
        <v>150</v>
      </c>
      <c r="K389" s="6" t="s">
        <v>166</v>
      </c>
      <c r="L389" s="6" t="s">
        <v>211</v>
      </c>
      <c r="M389" s="6">
        <v>1</v>
      </c>
      <c r="N389" s="7">
        <v>8500</v>
      </c>
      <c r="O389" s="7"/>
      <c r="P389" s="6" t="s">
        <v>27</v>
      </c>
      <c r="Q389" s="6" t="s">
        <v>145</v>
      </c>
      <c r="R389" s="4" t="s">
        <v>146</v>
      </c>
      <c r="S389" s="6" t="s">
        <v>85</v>
      </c>
      <c r="T389" s="6" t="s">
        <v>36</v>
      </c>
    </row>
    <row r="390" spans="1:20" x14ac:dyDescent="0.35">
      <c r="A390" s="4">
        <v>44177</v>
      </c>
      <c r="B390" s="5"/>
      <c r="C390" s="5"/>
      <c r="D390" s="5"/>
      <c r="E390" s="5"/>
      <c r="F390" s="6" t="s">
        <v>143</v>
      </c>
      <c r="G390" s="6" t="s">
        <v>144</v>
      </c>
      <c r="H390" s="6" t="s">
        <v>164</v>
      </c>
      <c r="I390" s="6" t="s">
        <v>165</v>
      </c>
      <c r="J390" s="6" t="s">
        <v>150</v>
      </c>
      <c r="K390" s="6" t="s">
        <v>166</v>
      </c>
      <c r="L390" s="6" t="s">
        <v>167</v>
      </c>
      <c r="M390" s="6">
        <v>1</v>
      </c>
      <c r="N390" s="7">
        <v>7800</v>
      </c>
      <c r="O390" s="7"/>
      <c r="P390" s="6" t="s">
        <v>27</v>
      </c>
      <c r="Q390" s="6" t="s">
        <v>145</v>
      </c>
      <c r="R390" s="4" t="s">
        <v>146</v>
      </c>
      <c r="S390" s="6" t="s">
        <v>85</v>
      </c>
      <c r="T390" s="6" t="s">
        <v>36</v>
      </c>
    </row>
    <row r="391" spans="1:20" x14ac:dyDescent="0.35">
      <c r="A391" s="4">
        <v>44177</v>
      </c>
      <c r="B391" s="5"/>
      <c r="C391" s="5"/>
      <c r="D391" s="5"/>
      <c r="E391" s="5"/>
      <c r="F391" s="6" t="s">
        <v>143</v>
      </c>
      <c r="G391" s="6" t="s">
        <v>144</v>
      </c>
      <c r="H391" s="6" t="s">
        <v>39</v>
      </c>
      <c r="I391" s="6" t="s">
        <v>268</v>
      </c>
      <c r="J391" s="6" t="s">
        <v>150</v>
      </c>
      <c r="K391" s="6" t="s">
        <v>166</v>
      </c>
      <c r="L391" s="6" t="s">
        <v>457</v>
      </c>
      <c r="M391" s="6">
        <v>3</v>
      </c>
      <c r="N391" s="7">
        <v>3750</v>
      </c>
      <c r="O391" s="7"/>
      <c r="P391" s="6" t="s">
        <v>27</v>
      </c>
      <c r="Q391" s="6" t="s">
        <v>145</v>
      </c>
      <c r="R391" s="4" t="s">
        <v>146</v>
      </c>
      <c r="S391" s="6" t="s">
        <v>85</v>
      </c>
      <c r="T391" s="6" t="s">
        <v>65</v>
      </c>
    </row>
    <row r="392" spans="1:20" x14ac:dyDescent="0.35">
      <c r="A392" s="4">
        <v>44177</v>
      </c>
      <c r="B392" s="5"/>
      <c r="C392" s="5"/>
      <c r="D392" s="5"/>
      <c r="E392" s="5"/>
      <c r="F392" s="6" t="s">
        <v>143</v>
      </c>
      <c r="G392" s="6" t="s">
        <v>144</v>
      </c>
      <c r="H392" s="6" t="s">
        <v>340</v>
      </c>
      <c r="I392" s="6" t="s">
        <v>341</v>
      </c>
      <c r="J392" s="6" t="s">
        <v>150</v>
      </c>
      <c r="K392" s="6" t="s">
        <v>242</v>
      </c>
      <c r="L392" s="6" t="s">
        <v>344</v>
      </c>
      <c r="M392" s="6">
        <v>1</v>
      </c>
      <c r="N392" s="6">
        <v>1</v>
      </c>
      <c r="O392" s="7"/>
      <c r="P392" s="6" t="s">
        <v>27</v>
      </c>
      <c r="Q392" s="6" t="s">
        <v>145</v>
      </c>
      <c r="R392" s="4" t="s">
        <v>146</v>
      </c>
      <c r="S392" s="6" t="s">
        <v>85</v>
      </c>
      <c r="T392" s="6" t="s">
        <v>65</v>
      </c>
    </row>
    <row r="393" spans="1:20" x14ac:dyDescent="0.35">
      <c r="A393" s="4">
        <v>44177</v>
      </c>
      <c r="B393" s="5"/>
      <c r="C393" s="5"/>
      <c r="D393" s="5"/>
      <c r="E393" s="5"/>
      <c r="F393" s="6" t="s">
        <v>143</v>
      </c>
      <c r="G393" s="6" t="s">
        <v>144</v>
      </c>
      <c r="H393" s="6" t="s">
        <v>340</v>
      </c>
      <c r="I393" s="6" t="s">
        <v>341</v>
      </c>
      <c r="J393" s="6" t="s">
        <v>150</v>
      </c>
      <c r="K393" s="6" t="s">
        <v>242</v>
      </c>
      <c r="L393" s="6" t="s">
        <v>342</v>
      </c>
      <c r="M393" s="6">
        <v>2</v>
      </c>
      <c r="N393" s="7">
        <v>1500</v>
      </c>
      <c r="O393" s="7"/>
      <c r="P393" s="6" t="s">
        <v>27</v>
      </c>
      <c r="Q393" s="6" t="s">
        <v>145</v>
      </c>
      <c r="R393" s="4" t="s">
        <v>146</v>
      </c>
      <c r="S393" s="6" t="s">
        <v>85</v>
      </c>
      <c r="T393" s="6" t="s">
        <v>65</v>
      </c>
    </row>
    <row r="394" spans="1:20" x14ac:dyDescent="0.35">
      <c r="A394" s="4">
        <v>44177</v>
      </c>
      <c r="B394" s="5"/>
      <c r="C394" s="5"/>
      <c r="D394" s="5"/>
      <c r="E394" s="5"/>
      <c r="F394" s="6" t="s">
        <v>479</v>
      </c>
      <c r="G394" s="6" t="s">
        <v>480</v>
      </c>
      <c r="H394" s="6" t="s">
        <v>44</v>
      </c>
      <c r="I394" s="6" t="s">
        <v>156</v>
      </c>
      <c r="J394" s="6" t="s">
        <v>150</v>
      </c>
      <c r="K394" s="6" t="s">
        <v>157</v>
      </c>
      <c r="L394" s="6" t="s">
        <v>247</v>
      </c>
      <c r="M394" s="6">
        <v>4</v>
      </c>
      <c r="N394" s="7">
        <v>7050</v>
      </c>
      <c r="O394" s="7"/>
      <c r="P394" s="6" t="s">
        <v>27</v>
      </c>
      <c r="Q394" s="6" t="s">
        <v>207</v>
      </c>
      <c r="R394" s="4" t="s">
        <v>146</v>
      </c>
      <c r="S394" s="6" t="s">
        <v>29</v>
      </c>
      <c r="T394" s="6" t="s">
        <v>30</v>
      </c>
    </row>
    <row r="395" spans="1:20" x14ac:dyDescent="0.35">
      <c r="A395" s="4">
        <v>44177</v>
      </c>
      <c r="B395" s="5"/>
      <c r="C395" s="5"/>
      <c r="D395" s="5"/>
      <c r="E395" s="5"/>
      <c r="F395" s="6" t="s">
        <v>479</v>
      </c>
      <c r="G395" s="6" t="s">
        <v>480</v>
      </c>
      <c r="H395" s="6" t="s">
        <v>39</v>
      </c>
      <c r="I395" s="6" t="s">
        <v>268</v>
      </c>
      <c r="J395" s="6" t="s">
        <v>150</v>
      </c>
      <c r="K395" s="6" t="s">
        <v>166</v>
      </c>
      <c r="L395" s="6" t="s">
        <v>457</v>
      </c>
      <c r="M395" s="6">
        <v>4</v>
      </c>
      <c r="N395" s="7">
        <v>3750</v>
      </c>
      <c r="O395" s="7"/>
      <c r="P395" s="6" t="s">
        <v>27</v>
      </c>
      <c r="Q395" s="6" t="s">
        <v>207</v>
      </c>
      <c r="R395" s="4" t="s">
        <v>146</v>
      </c>
      <c r="S395" s="6" t="s">
        <v>29</v>
      </c>
      <c r="T395" s="6" t="s">
        <v>30</v>
      </c>
    </row>
    <row r="396" spans="1:20" x14ac:dyDescent="0.35">
      <c r="A396" s="4">
        <v>44177</v>
      </c>
      <c r="B396" s="5"/>
      <c r="C396" s="5"/>
      <c r="D396" s="5"/>
      <c r="E396" s="5"/>
      <c r="F396" s="6" t="s">
        <v>481</v>
      </c>
      <c r="G396" s="6" t="s">
        <v>482</v>
      </c>
      <c r="H396" s="6" t="s">
        <v>340</v>
      </c>
      <c r="I396" s="6" t="s">
        <v>341</v>
      </c>
      <c r="J396" s="6" t="s">
        <v>150</v>
      </c>
      <c r="K396" s="6" t="s">
        <v>242</v>
      </c>
      <c r="L396" s="6" t="s">
        <v>342</v>
      </c>
      <c r="M396" s="6">
        <v>1</v>
      </c>
      <c r="N396" s="7">
        <v>1500</v>
      </c>
      <c r="O396" s="7"/>
      <c r="P396" s="6" t="s">
        <v>27</v>
      </c>
      <c r="Q396" s="6" t="s">
        <v>417</v>
      </c>
      <c r="R396" s="4" t="s">
        <v>146</v>
      </c>
      <c r="S396" s="6" t="s">
        <v>29</v>
      </c>
      <c r="T396" s="6" t="s">
        <v>65</v>
      </c>
    </row>
    <row r="397" spans="1:20" x14ac:dyDescent="0.35">
      <c r="A397" s="4">
        <v>44177</v>
      </c>
      <c r="B397" s="5"/>
      <c r="C397" s="5"/>
      <c r="D397" s="5"/>
      <c r="E397" s="5"/>
      <c r="F397" s="6" t="s">
        <v>481</v>
      </c>
      <c r="G397" s="6" t="s">
        <v>482</v>
      </c>
      <c r="H397" s="6" t="s">
        <v>340</v>
      </c>
      <c r="I397" s="6" t="s">
        <v>341</v>
      </c>
      <c r="J397" s="6" t="s">
        <v>150</v>
      </c>
      <c r="K397" s="6" t="s">
        <v>242</v>
      </c>
      <c r="L397" s="6" t="s">
        <v>344</v>
      </c>
      <c r="M397" s="6">
        <v>1</v>
      </c>
      <c r="N397" s="6">
        <v>1</v>
      </c>
      <c r="O397" s="7"/>
      <c r="P397" s="6" t="s">
        <v>27</v>
      </c>
      <c r="Q397" s="6" t="s">
        <v>417</v>
      </c>
      <c r="R397" s="4" t="s">
        <v>146</v>
      </c>
      <c r="S397" s="6" t="s">
        <v>29</v>
      </c>
      <c r="T397" s="6" t="s">
        <v>65</v>
      </c>
    </row>
    <row r="398" spans="1:20" x14ac:dyDescent="0.35">
      <c r="A398" s="4">
        <v>44177</v>
      </c>
      <c r="B398" s="5"/>
      <c r="C398" s="5"/>
      <c r="D398" s="5"/>
      <c r="E398" s="5"/>
      <c r="F398" s="6" t="s">
        <v>483</v>
      </c>
      <c r="G398" s="6" t="s">
        <v>484</v>
      </c>
      <c r="H398" s="6" t="s">
        <v>191</v>
      </c>
      <c r="I398" s="6" t="s">
        <v>192</v>
      </c>
      <c r="J398" s="6" t="s">
        <v>150</v>
      </c>
      <c r="K398" s="6" t="s">
        <v>151</v>
      </c>
      <c r="L398" s="6" t="s">
        <v>256</v>
      </c>
      <c r="M398" s="6">
        <v>1</v>
      </c>
      <c r="N398" s="7">
        <v>11150</v>
      </c>
      <c r="O398" s="7"/>
      <c r="P398" s="6" t="s">
        <v>27</v>
      </c>
      <c r="Q398" s="6" t="s">
        <v>485</v>
      </c>
      <c r="R398" s="4" t="s">
        <v>146</v>
      </c>
      <c r="S398" s="6" t="s">
        <v>29</v>
      </c>
      <c r="T398" s="6" t="s">
        <v>65</v>
      </c>
    </row>
    <row r="399" spans="1:20" x14ac:dyDescent="0.35">
      <c r="A399" s="4">
        <v>44177</v>
      </c>
      <c r="B399" s="5"/>
      <c r="C399" s="5"/>
      <c r="D399" s="5"/>
      <c r="E399" s="5"/>
      <c r="F399" s="6" t="s">
        <v>483</v>
      </c>
      <c r="G399" s="6" t="s">
        <v>484</v>
      </c>
      <c r="H399" s="6" t="s">
        <v>44</v>
      </c>
      <c r="I399" s="6" t="s">
        <v>149</v>
      </c>
      <c r="J399" s="6" t="s">
        <v>150</v>
      </c>
      <c r="K399" s="6" t="s">
        <v>151</v>
      </c>
      <c r="L399" s="6" t="s">
        <v>155</v>
      </c>
      <c r="M399" s="6">
        <v>1</v>
      </c>
      <c r="N399" s="7">
        <v>9150</v>
      </c>
      <c r="O399" s="7"/>
      <c r="P399" s="6" t="s">
        <v>27</v>
      </c>
      <c r="Q399" s="6" t="s">
        <v>485</v>
      </c>
      <c r="R399" s="4" t="s">
        <v>146</v>
      </c>
      <c r="S399" s="6" t="s">
        <v>29</v>
      </c>
      <c r="T399" s="6" t="s">
        <v>65</v>
      </c>
    </row>
    <row r="400" spans="1:20" x14ac:dyDescent="0.35">
      <c r="A400" s="4">
        <v>44177</v>
      </c>
      <c r="B400" s="5"/>
      <c r="C400" s="5"/>
      <c r="D400" s="5"/>
      <c r="E400" s="5"/>
      <c r="F400" s="6" t="s">
        <v>483</v>
      </c>
      <c r="G400" s="6" t="s">
        <v>484</v>
      </c>
      <c r="H400" s="6" t="s">
        <v>39</v>
      </c>
      <c r="I400" s="6" t="s">
        <v>172</v>
      </c>
      <c r="J400" s="6" t="s">
        <v>150</v>
      </c>
      <c r="K400" s="6" t="s">
        <v>166</v>
      </c>
      <c r="L400" s="6" t="s">
        <v>173</v>
      </c>
      <c r="M400" s="6">
        <v>1</v>
      </c>
      <c r="N400" s="7">
        <v>1860</v>
      </c>
      <c r="O400" s="7"/>
      <c r="P400" s="6" t="s">
        <v>27</v>
      </c>
      <c r="Q400" s="6" t="s">
        <v>485</v>
      </c>
      <c r="R400" s="4" t="s">
        <v>146</v>
      </c>
      <c r="S400" s="6" t="s">
        <v>29</v>
      </c>
      <c r="T400" s="6" t="s">
        <v>65</v>
      </c>
    </row>
    <row r="401" spans="1:20" x14ac:dyDescent="0.35">
      <c r="A401" s="4">
        <v>44177</v>
      </c>
      <c r="B401" s="5"/>
      <c r="C401" s="5"/>
      <c r="D401" s="5"/>
      <c r="E401" s="5"/>
      <c r="F401" s="6" t="s">
        <v>483</v>
      </c>
      <c r="G401" s="6" t="s">
        <v>484</v>
      </c>
      <c r="H401" s="6" t="s">
        <v>39</v>
      </c>
      <c r="I401" s="6" t="s">
        <v>268</v>
      </c>
      <c r="J401" s="6" t="s">
        <v>150</v>
      </c>
      <c r="K401" s="6" t="s">
        <v>166</v>
      </c>
      <c r="L401" s="6" t="s">
        <v>457</v>
      </c>
      <c r="M401" s="6">
        <v>2</v>
      </c>
      <c r="N401" s="7">
        <v>3750</v>
      </c>
      <c r="O401" s="7"/>
      <c r="P401" s="6" t="s">
        <v>27</v>
      </c>
      <c r="Q401" s="6" t="s">
        <v>485</v>
      </c>
      <c r="R401" s="4" t="s">
        <v>146</v>
      </c>
      <c r="S401" s="6" t="s">
        <v>29</v>
      </c>
      <c r="T401" s="6" t="s">
        <v>65</v>
      </c>
    </row>
    <row r="402" spans="1:20" x14ac:dyDescent="0.35">
      <c r="A402" s="4">
        <v>44177</v>
      </c>
      <c r="B402" s="5"/>
      <c r="C402" s="5"/>
      <c r="D402" s="5"/>
      <c r="E402" s="5"/>
      <c r="F402" s="6" t="s">
        <v>483</v>
      </c>
      <c r="G402" s="6" t="s">
        <v>484</v>
      </c>
      <c r="H402" s="6" t="s">
        <v>219</v>
      </c>
      <c r="I402" s="6" t="s">
        <v>220</v>
      </c>
      <c r="J402" s="6" t="s">
        <v>150</v>
      </c>
      <c r="K402" s="6" t="s">
        <v>221</v>
      </c>
      <c r="L402" s="6" t="s">
        <v>284</v>
      </c>
      <c r="M402" s="6">
        <v>2</v>
      </c>
      <c r="N402" s="7">
        <v>2780</v>
      </c>
      <c r="O402" s="7"/>
      <c r="P402" s="6" t="s">
        <v>27</v>
      </c>
      <c r="Q402" s="6" t="s">
        <v>485</v>
      </c>
      <c r="R402" s="4" t="s">
        <v>146</v>
      </c>
      <c r="S402" s="6" t="s">
        <v>29</v>
      </c>
      <c r="T402" s="6" t="s">
        <v>65</v>
      </c>
    </row>
    <row r="403" spans="1:20" x14ac:dyDescent="0.35">
      <c r="A403" s="4">
        <v>44147</v>
      </c>
      <c r="B403" s="5"/>
      <c r="C403" s="5"/>
      <c r="D403" s="5"/>
      <c r="E403" s="5"/>
      <c r="F403" s="6" t="s">
        <v>486</v>
      </c>
      <c r="G403" s="6" t="s">
        <v>487</v>
      </c>
      <c r="H403" s="6" t="s">
        <v>340</v>
      </c>
      <c r="I403" s="6" t="s">
        <v>341</v>
      </c>
      <c r="J403" s="6" t="s">
        <v>150</v>
      </c>
      <c r="K403" s="6" t="s">
        <v>242</v>
      </c>
      <c r="L403" s="6" t="s">
        <v>344</v>
      </c>
      <c r="M403" s="6">
        <v>1</v>
      </c>
      <c r="N403" s="6">
        <v>1</v>
      </c>
      <c r="O403" s="7"/>
      <c r="P403" s="6" t="s">
        <v>27</v>
      </c>
      <c r="Q403" s="6" t="s">
        <v>360</v>
      </c>
      <c r="R403" s="4" t="s">
        <v>146</v>
      </c>
      <c r="S403" s="6" t="s">
        <v>85</v>
      </c>
      <c r="T403" s="6" t="s">
        <v>65</v>
      </c>
    </row>
    <row r="404" spans="1:20" x14ac:dyDescent="0.35">
      <c r="A404" s="4">
        <v>44147</v>
      </c>
      <c r="B404" s="5"/>
      <c r="C404" s="5"/>
      <c r="D404" s="5"/>
      <c r="E404" s="5"/>
      <c r="F404" s="6" t="s">
        <v>486</v>
      </c>
      <c r="G404" s="6" t="s">
        <v>487</v>
      </c>
      <c r="H404" s="6" t="s">
        <v>340</v>
      </c>
      <c r="I404" s="6" t="s">
        <v>341</v>
      </c>
      <c r="J404" s="6" t="s">
        <v>150</v>
      </c>
      <c r="K404" s="6" t="s">
        <v>242</v>
      </c>
      <c r="L404" s="6" t="s">
        <v>342</v>
      </c>
      <c r="M404" s="6">
        <v>1</v>
      </c>
      <c r="N404" s="7">
        <v>1500</v>
      </c>
      <c r="O404" s="7"/>
      <c r="P404" s="6" t="s">
        <v>27</v>
      </c>
      <c r="Q404" s="6" t="s">
        <v>360</v>
      </c>
      <c r="R404" s="4" t="s">
        <v>146</v>
      </c>
      <c r="S404" s="6" t="s">
        <v>85</v>
      </c>
      <c r="T404" s="6" t="s">
        <v>65</v>
      </c>
    </row>
    <row r="405" spans="1:20" x14ac:dyDescent="0.35">
      <c r="A405" s="4">
        <v>43933</v>
      </c>
      <c r="B405" s="5"/>
      <c r="C405" s="5"/>
      <c r="D405" s="5"/>
      <c r="E405" s="5"/>
      <c r="F405" s="6" t="s">
        <v>488</v>
      </c>
      <c r="G405" s="6" t="s">
        <v>489</v>
      </c>
      <c r="H405" s="6" t="s">
        <v>219</v>
      </c>
      <c r="I405" s="6" t="s">
        <v>220</v>
      </c>
      <c r="J405" s="6" t="s">
        <v>150</v>
      </c>
      <c r="K405" s="6" t="s">
        <v>221</v>
      </c>
      <c r="L405" s="6" t="s">
        <v>284</v>
      </c>
      <c r="M405" s="6">
        <v>30</v>
      </c>
      <c r="N405" s="7">
        <v>2780</v>
      </c>
      <c r="O405" s="7"/>
      <c r="P405" s="6" t="s">
        <v>27</v>
      </c>
      <c r="Q405" s="6" t="s">
        <v>490</v>
      </c>
      <c r="R405" s="4" t="s">
        <v>146</v>
      </c>
      <c r="S405" s="6" t="s">
        <v>85</v>
      </c>
      <c r="T405" s="6" t="s">
        <v>30</v>
      </c>
    </row>
    <row r="406" spans="1:20" x14ac:dyDescent="0.35">
      <c r="A406" s="4">
        <v>43933</v>
      </c>
      <c r="B406" s="5"/>
      <c r="C406" s="5"/>
      <c r="D406" s="5"/>
      <c r="E406" s="5"/>
      <c r="F406" s="6" t="s">
        <v>491</v>
      </c>
      <c r="G406" s="6" t="s">
        <v>489</v>
      </c>
      <c r="H406" s="6" t="s">
        <v>219</v>
      </c>
      <c r="I406" s="6" t="s">
        <v>220</v>
      </c>
      <c r="J406" s="6" t="s">
        <v>150</v>
      </c>
      <c r="K406" s="6" t="s">
        <v>221</v>
      </c>
      <c r="L406" s="6" t="s">
        <v>307</v>
      </c>
      <c r="M406" s="6">
        <v>15</v>
      </c>
      <c r="N406" s="7">
        <v>2080</v>
      </c>
      <c r="O406" s="7"/>
      <c r="P406" s="6" t="s">
        <v>27</v>
      </c>
      <c r="Q406" s="6" t="s">
        <v>490</v>
      </c>
      <c r="R406" s="4" t="s">
        <v>146</v>
      </c>
      <c r="S406" s="6" t="s">
        <v>85</v>
      </c>
      <c r="T406" s="6" t="s">
        <v>30</v>
      </c>
    </row>
    <row r="407" spans="1:20" x14ac:dyDescent="0.35">
      <c r="A407" s="4">
        <v>44177</v>
      </c>
      <c r="B407" s="5"/>
      <c r="C407" s="5"/>
      <c r="D407" s="5"/>
      <c r="E407" s="5"/>
      <c r="F407" s="6" t="s">
        <v>492</v>
      </c>
      <c r="G407" s="6" t="s">
        <v>493</v>
      </c>
      <c r="H407" s="6" t="s">
        <v>44</v>
      </c>
      <c r="I407" s="6" t="s">
        <v>149</v>
      </c>
      <c r="J407" s="6" t="s">
        <v>150</v>
      </c>
      <c r="K407" s="6" t="s">
        <v>151</v>
      </c>
      <c r="L407" s="6" t="s">
        <v>155</v>
      </c>
      <c r="M407" s="6">
        <v>1</v>
      </c>
      <c r="N407" s="7">
        <v>9150</v>
      </c>
      <c r="O407" s="7"/>
      <c r="P407" s="6" t="s">
        <v>27</v>
      </c>
      <c r="Q407" s="6" t="s">
        <v>396</v>
      </c>
      <c r="R407" s="4" t="s">
        <v>146</v>
      </c>
      <c r="S407" s="6" t="s">
        <v>29</v>
      </c>
      <c r="T407" s="6" t="s">
        <v>36</v>
      </c>
    </row>
    <row r="408" spans="1:20" x14ac:dyDescent="0.35">
      <c r="A408" s="4">
        <v>44177</v>
      </c>
      <c r="B408" s="5"/>
      <c r="C408" s="5"/>
      <c r="D408" s="5"/>
      <c r="E408" s="5"/>
      <c r="F408" s="6" t="s">
        <v>492</v>
      </c>
      <c r="G408" s="6" t="s">
        <v>493</v>
      </c>
      <c r="H408" s="6" t="s">
        <v>168</v>
      </c>
      <c r="I408" s="6" t="s">
        <v>169</v>
      </c>
      <c r="J408" s="6" t="s">
        <v>150</v>
      </c>
      <c r="K408" s="6" t="s">
        <v>170</v>
      </c>
      <c r="L408" s="6" t="s">
        <v>171</v>
      </c>
      <c r="M408" s="6">
        <v>1</v>
      </c>
      <c r="N408" s="7">
        <v>3000</v>
      </c>
      <c r="O408" s="7"/>
      <c r="P408" s="6" t="s">
        <v>27</v>
      </c>
      <c r="Q408" s="6" t="s">
        <v>396</v>
      </c>
      <c r="R408" s="4" t="s">
        <v>146</v>
      </c>
      <c r="S408" s="6" t="s">
        <v>29</v>
      </c>
      <c r="T408" s="6" t="s">
        <v>36</v>
      </c>
    </row>
    <row r="409" spans="1:20" x14ac:dyDescent="0.35">
      <c r="A409" s="4">
        <v>44177</v>
      </c>
      <c r="B409" s="5"/>
      <c r="C409" s="5"/>
      <c r="D409" s="5"/>
      <c r="E409" s="5"/>
      <c r="F409" s="6" t="s">
        <v>492</v>
      </c>
      <c r="G409" s="6" t="s">
        <v>493</v>
      </c>
      <c r="H409" s="6" t="s">
        <v>200</v>
      </c>
      <c r="I409" s="6" t="s">
        <v>201</v>
      </c>
      <c r="J409" s="6" t="s">
        <v>150</v>
      </c>
      <c r="K409" s="6" t="s">
        <v>166</v>
      </c>
      <c r="L409" s="6" t="s">
        <v>206</v>
      </c>
      <c r="M409" s="6">
        <v>2</v>
      </c>
      <c r="N409" s="7">
        <v>6750</v>
      </c>
      <c r="O409" s="7"/>
      <c r="P409" s="6" t="s">
        <v>27</v>
      </c>
      <c r="Q409" s="6" t="s">
        <v>396</v>
      </c>
      <c r="R409" s="4" t="s">
        <v>146</v>
      </c>
      <c r="S409" s="6" t="s">
        <v>29</v>
      </c>
      <c r="T409" s="6" t="s">
        <v>36</v>
      </c>
    </row>
    <row r="410" spans="1:20" x14ac:dyDescent="0.35">
      <c r="A410" s="4">
        <v>44177</v>
      </c>
      <c r="B410" s="5"/>
      <c r="C410" s="5"/>
      <c r="D410" s="5"/>
      <c r="E410" s="5"/>
      <c r="F410" s="6" t="s">
        <v>492</v>
      </c>
      <c r="G410" s="6" t="s">
        <v>493</v>
      </c>
      <c r="H410" s="6" t="s">
        <v>176</v>
      </c>
      <c r="I410" s="6" t="s">
        <v>281</v>
      </c>
      <c r="J410" s="6" t="s">
        <v>150</v>
      </c>
      <c r="K410" s="6" t="s">
        <v>282</v>
      </c>
      <c r="L410" s="6" t="s">
        <v>283</v>
      </c>
      <c r="M410" s="6">
        <v>2</v>
      </c>
      <c r="N410" s="7">
        <v>3300</v>
      </c>
      <c r="O410" s="7"/>
      <c r="P410" s="6" t="s">
        <v>27</v>
      </c>
      <c r="Q410" s="6" t="s">
        <v>396</v>
      </c>
      <c r="R410" s="4" t="s">
        <v>146</v>
      </c>
      <c r="S410" s="6" t="s">
        <v>29</v>
      </c>
      <c r="T410" s="6" t="s">
        <v>36</v>
      </c>
    </row>
    <row r="411" spans="1:20" x14ac:dyDescent="0.35">
      <c r="A411" s="4">
        <v>44177</v>
      </c>
      <c r="B411" s="5"/>
      <c r="C411" s="5"/>
      <c r="D411" s="5"/>
      <c r="E411" s="5"/>
      <c r="F411" s="6" t="s">
        <v>494</v>
      </c>
      <c r="G411" s="6" t="s">
        <v>495</v>
      </c>
      <c r="H411" s="6" t="s">
        <v>340</v>
      </c>
      <c r="I411" s="6" t="s">
        <v>341</v>
      </c>
      <c r="J411" s="6" t="s">
        <v>150</v>
      </c>
      <c r="K411" s="6" t="s">
        <v>242</v>
      </c>
      <c r="L411" s="6" t="s">
        <v>344</v>
      </c>
      <c r="M411" s="6">
        <v>1</v>
      </c>
      <c r="N411" s="6">
        <v>1</v>
      </c>
      <c r="O411" s="7"/>
      <c r="P411" s="6" t="s">
        <v>27</v>
      </c>
      <c r="Q411" s="6" t="s">
        <v>305</v>
      </c>
      <c r="R411" s="4" t="s">
        <v>146</v>
      </c>
      <c r="S411" s="6" t="s">
        <v>29</v>
      </c>
      <c r="T411" s="6" t="s">
        <v>36</v>
      </c>
    </row>
    <row r="412" spans="1:20" x14ac:dyDescent="0.35">
      <c r="A412" s="4">
        <v>44177</v>
      </c>
      <c r="B412" s="5"/>
      <c r="C412" s="5"/>
      <c r="D412" s="5"/>
      <c r="E412" s="5"/>
      <c r="F412" s="6" t="s">
        <v>494</v>
      </c>
      <c r="G412" s="6" t="s">
        <v>495</v>
      </c>
      <c r="H412" s="6" t="s">
        <v>340</v>
      </c>
      <c r="I412" s="6" t="s">
        <v>341</v>
      </c>
      <c r="J412" s="6" t="s">
        <v>150</v>
      </c>
      <c r="K412" s="6" t="s">
        <v>242</v>
      </c>
      <c r="L412" s="6" t="s">
        <v>342</v>
      </c>
      <c r="M412" s="6">
        <v>1</v>
      </c>
      <c r="N412" s="7">
        <v>1500</v>
      </c>
      <c r="O412" s="7"/>
      <c r="P412" s="6" t="s">
        <v>27</v>
      </c>
      <c r="Q412" s="6" t="s">
        <v>305</v>
      </c>
      <c r="R412" s="4" t="s">
        <v>146</v>
      </c>
      <c r="S412" s="6" t="s">
        <v>29</v>
      </c>
      <c r="T412" s="6" t="s">
        <v>36</v>
      </c>
    </row>
    <row r="413" spans="1:20" x14ac:dyDescent="0.35">
      <c r="A413" s="4">
        <v>44147</v>
      </c>
      <c r="B413" s="5"/>
      <c r="C413" s="5"/>
      <c r="D413" s="5"/>
      <c r="E413" s="5"/>
      <c r="F413" s="6" t="s">
        <v>496</v>
      </c>
      <c r="G413" s="6" t="s">
        <v>21</v>
      </c>
      <c r="H413" s="6" t="s">
        <v>168</v>
      </c>
      <c r="I413" s="6" t="s">
        <v>169</v>
      </c>
      <c r="J413" s="6" t="s">
        <v>150</v>
      </c>
      <c r="K413" s="6" t="s">
        <v>170</v>
      </c>
      <c r="L413" s="6" t="s">
        <v>171</v>
      </c>
      <c r="M413" s="6">
        <v>10</v>
      </c>
      <c r="N413" s="7">
        <v>3000</v>
      </c>
      <c r="O413" s="7"/>
      <c r="P413" s="6" t="s">
        <v>27</v>
      </c>
      <c r="Q413" s="6" t="s">
        <v>28</v>
      </c>
      <c r="R413" s="4" t="s">
        <v>146</v>
      </c>
      <c r="S413" s="6" t="s">
        <v>29</v>
      </c>
      <c r="T413" s="6" t="s">
        <v>30</v>
      </c>
    </row>
    <row r="414" spans="1:20" x14ac:dyDescent="0.35">
      <c r="A414" s="4">
        <v>44147</v>
      </c>
      <c r="B414" s="5"/>
      <c r="C414" s="5"/>
      <c r="D414" s="5"/>
      <c r="E414" s="5"/>
      <c r="F414" s="6" t="s">
        <v>496</v>
      </c>
      <c r="G414" s="6" t="s">
        <v>21</v>
      </c>
      <c r="H414" s="6" t="s">
        <v>168</v>
      </c>
      <c r="I414" s="6" t="s">
        <v>169</v>
      </c>
      <c r="J414" s="6" t="s">
        <v>150</v>
      </c>
      <c r="K414" s="6" t="s">
        <v>170</v>
      </c>
      <c r="L414" s="6" t="s">
        <v>185</v>
      </c>
      <c r="M414" s="6">
        <v>10</v>
      </c>
      <c r="N414" s="7">
        <v>3000</v>
      </c>
      <c r="O414" s="7"/>
      <c r="P414" s="6" t="s">
        <v>27</v>
      </c>
      <c r="Q414" s="6" t="s">
        <v>28</v>
      </c>
      <c r="R414" s="4" t="s">
        <v>146</v>
      </c>
      <c r="S414" s="6" t="s">
        <v>29</v>
      </c>
      <c r="T414" s="6" t="s">
        <v>30</v>
      </c>
    </row>
    <row r="415" spans="1:20" x14ac:dyDescent="0.35">
      <c r="A415" s="4">
        <v>44177</v>
      </c>
      <c r="B415" s="5"/>
      <c r="C415" s="5"/>
      <c r="D415" s="5"/>
      <c r="E415" s="5"/>
      <c r="F415" s="6" t="s">
        <v>497</v>
      </c>
      <c r="G415" s="6" t="s">
        <v>133</v>
      </c>
      <c r="H415" s="6" t="s">
        <v>200</v>
      </c>
      <c r="I415" s="6" t="s">
        <v>201</v>
      </c>
      <c r="J415" s="6" t="s">
        <v>150</v>
      </c>
      <c r="K415" s="6" t="s">
        <v>166</v>
      </c>
      <c r="L415" s="6" t="s">
        <v>206</v>
      </c>
      <c r="M415" s="6">
        <v>5</v>
      </c>
      <c r="N415" s="7">
        <v>6750</v>
      </c>
      <c r="O415" s="7"/>
      <c r="P415" s="6" t="s">
        <v>27</v>
      </c>
      <c r="Q415" s="6" t="s">
        <v>77</v>
      </c>
      <c r="R415" s="4" t="s">
        <v>146</v>
      </c>
      <c r="S415" s="6" t="s">
        <v>85</v>
      </c>
      <c r="T415" s="6" t="s">
        <v>30</v>
      </c>
    </row>
    <row r="416" spans="1:20" x14ac:dyDescent="0.35">
      <c r="A416" s="4">
        <v>44177</v>
      </c>
      <c r="B416" s="5"/>
      <c r="C416" s="5"/>
      <c r="D416" s="5"/>
      <c r="E416" s="5"/>
      <c r="F416" s="6" t="s">
        <v>498</v>
      </c>
      <c r="G416" s="6" t="s">
        <v>431</v>
      </c>
      <c r="H416" s="6" t="s">
        <v>39</v>
      </c>
      <c r="I416" s="6" t="s">
        <v>172</v>
      </c>
      <c r="J416" s="6" t="s">
        <v>150</v>
      </c>
      <c r="K416" s="6" t="s">
        <v>166</v>
      </c>
      <c r="L416" s="6" t="s">
        <v>203</v>
      </c>
      <c r="M416" s="6">
        <v>1</v>
      </c>
      <c r="N416" s="7">
        <v>3750</v>
      </c>
      <c r="O416" s="7"/>
      <c r="P416" s="6" t="s">
        <v>27</v>
      </c>
      <c r="Q416" s="6" t="s">
        <v>349</v>
      </c>
      <c r="R416" s="4" t="s">
        <v>146</v>
      </c>
      <c r="S416" s="6" t="s">
        <v>29</v>
      </c>
      <c r="T416" s="6" t="s">
        <v>36</v>
      </c>
    </row>
    <row r="417" spans="1:20" x14ac:dyDescent="0.35">
      <c r="A417" s="4">
        <v>44177</v>
      </c>
      <c r="B417" s="5"/>
      <c r="C417" s="5"/>
      <c r="D417" s="5"/>
      <c r="E417" s="5"/>
      <c r="F417" s="6" t="s">
        <v>498</v>
      </c>
      <c r="G417" s="6" t="s">
        <v>431</v>
      </c>
      <c r="H417" s="6" t="s">
        <v>39</v>
      </c>
      <c r="I417" s="6" t="s">
        <v>268</v>
      </c>
      <c r="J417" s="6" t="s">
        <v>150</v>
      </c>
      <c r="K417" s="6" t="s">
        <v>166</v>
      </c>
      <c r="L417" s="6" t="s">
        <v>457</v>
      </c>
      <c r="M417" s="6">
        <v>1</v>
      </c>
      <c r="N417" s="7">
        <v>3750</v>
      </c>
      <c r="O417" s="7"/>
      <c r="P417" s="6" t="s">
        <v>27</v>
      </c>
      <c r="Q417" s="6" t="s">
        <v>349</v>
      </c>
      <c r="R417" s="4" t="s">
        <v>146</v>
      </c>
      <c r="S417" s="6" t="s">
        <v>29</v>
      </c>
      <c r="T417" s="6" t="s">
        <v>36</v>
      </c>
    </row>
    <row r="418" spans="1:20" x14ac:dyDescent="0.35">
      <c r="A418" s="4">
        <v>44177</v>
      </c>
      <c r="B418" s="5"/>
      <c r="C418" s="5"/>
      <c r="D418" s="5"/>
      <c r="E418" s="5"/>
      <c r="F418" s="6" t="s">
        <v>498</v>
      </c>
      <c r="G418" s="6" t="s">
        <v>431</v>
      </c>
      <c r="H418" s="6" t="s">
        <v>364</v>
      </c>
      <c r="I418" s="6" t="s">
        <v>365</v>
      </c>
      <c r="J418" s="6" t="s">
        <v>150</v>
      </c>
      <c r="K418" s="6" t="s">
        <v>366</v>
      </c>
      <c r="L418" s="6" t="s">
        <v>367</v>
      </c>
      <c r="M418" s="6">
        <v>1</v>
      </c>
      <c r="N418" s="7">
        <v>4200</v>
      </c>
      <c r="O418" s="7"/>
      <c r="P418" s="6" t="s">
        <v>27</v>
      </c>
      <c r="Q418" s="6" t="s">
        <v>349</v>
      </c>
      <c r="R418" s="4" t="s">
        <v>146</v>
      </c>
      <c r="S418" s="6" t="s">
        <v>29</v>
      </c>
      <c r="T418" s="6" t="s">
        <v>36</v>
      </c>
    </row>
    <row r="419" spans="1:20" x14ac:dyDescent="0.35">
      <c r="A419" s="4">
        <v>44177</v>
      </c>
      <c r="B419" s="5"/>
      <c r="C419" s="5"/>
      <c r="D419" s="5"/>
      <c r="E419" s="5"/>
      <c r="F419" s="6" t="s">
        <v>499</v>
      </c>
      <c r="G419" s="6" t="s">
        <v>500</v>
      </c>
      <c r="H419" s="6" t="s">
        <v>340</v>
      </c>
      <c r="I419" s="6" t="s">
        <v>341</v>
      </c>
      <c r="J419" s="6" t="s">
        <v>150</v>
      </c>
      <c r="K419" s="6" t="s">
        <v>242</v>
      </c>
      <c r="L419" s="6" t="s">
        <v>344</v>
      </c>
      <c r="M419" s="6">
        <v>1</v>
      </c>
      <c r="N419" s="6">
        <v>1</v>
      </c>
      <c r="O419" s="7"/>
      <c r="P419" s="6" t="s">
        <v>27</v>
      </c>
      <c r="Q419" s="6" t="s">
        <v>501</v>
      </c>
      <c r="R419" s="4" t="s">
        <v>146</v>
      </c>
      <c r="S419" s="6" t="s">
        <v>29</v>
      </c>
      <c r="T419" s="6" t="s">
        <v>36</v>
      </c>
    </row>
    <row r="420" spans="1:20" x14ac:dyDescent="0.35">
      <c r="A420" s="4">
        <v>44177</v>
      </c>
      <c r="B420" s="5"/>
      <c r="C420" s="5"/>
      <c r="D420" s="5"/>
      <c r="E420" s="5"/>
      <c r="F420" s="6" t="s">
        <v>499</v>
      </c>
      <c r="G420" s="6" t="s">
        <v>500</v>
      </c>
      <c r="H420" s="6" t="s">
        <v>340</v>
      </c>
      <c r="I420" s="6" t="s">
        <v>341</v>
      </c>
      <c r="J420" s="6" t="s">
        <v>150</v>
      </c>
      <c r="K420" s="6" t="s">
        <v>242</v>
      </c>
      <c r="L420" s="6" t="s">
        <v>342</v>
      </c>
      <c r="M420" s="6">
        <v>1</v>
      </c>
      <c r="N420" s="7">
        <v>1500</v>
      </c>
      <c r="O420" s="7"/>
      <c r="P420" s="6" t="s">
        <v>27</v>
      </c>
      <c r="Q420" s="6" t="s">
        <v>501</v>
      </c>
      <c r="R420" s="4" t="s">
        <v>146</v>
      </c>
      <c r="S420" s="6" t="s">
        <v>29</v>
      </c>
      <c r="T420" s="6" t="s">
        <v>36</v>
      </c>
    </row>
    <row r="421" spans="1:20" x14ac:dyDescent="0.35">
      <c r="A421" s="4">
        <v>44147</v>
      </c>
      <c r="B421" s="5"/>
      <c r="C421" s="5"/>
      <c r="D421" s="5"/>
      <c r="E421" s="5"/>
      <c r="F421" s="6" t="s">
        <v>502</v>
      </c>
      <c r="G421" s="6" t="s">
        <v>489</v>
      </c>
      <c r="H421" s="6" t="s">
        <v>219</v>
      </c>
      <c r="I421" s="6" t="s">
        <v>220</v>
      </c>
      <c r="J421" s="6" t="s">
        <v>150</v>
      </c>
      <c r="K421" s="6" t="s">
        <v>221</v>
      </c>
      <c r="L421" s="6" t="s">
        <v>222</v>
      </c>
      <c r="M421" s="6">
        <v>11</v>
      </c>
      <c r="N421" s="7">
        <v>4200</v>
      </c>
      <c r="O421" s="7"/>
      <c r="P421" s="6" t="s">
        <v>27</v>
      </c>
      <c r="Q421" s="6" t="s">
        <v>81</v>
      </c>
      <c r="R421" s="4" t="s">
        <v>146</v>
      </c>
      <c r="S421" s="6" t="s">
        <v>85</v>
      </c>
      <c r="T421" s="6" t="s">
        <v>30</v>
      </c>
    </row>
    <row r="422" spans="1:20" x14ac:dyDescent="0.35">
      <c r="A422" s="4">
        <v>44147</v>
      </c>
      <c r="B422" s="5"/>
      <c r="C422" s="5"/>
      <c r="D422" s="5"/>
      <c r="E422" s="5"/>
      <c r="F422" s="6" t="s">
        <v>502</v>
      </c>
      <c r="G422" s="6" t="s">
        <v>489</v>
      </c>
      <c r="H422" s="6" t="s">
        <v>44</v>
      </c>
      <c r="I422" s="6" t="s">
        <v>156</v>
      </c>
      <c r="J422" s="6" t="s">
        <v>150</v>
      </c>
      <c r="K422" s="6" t="s">
        <v>157</v>
      </c>
      <c r="L422" s="6" t="s">
        <v>158</v>
      </c>
      <c r="M422" s="6">
        <v>5</v>
      </c>
      <c r="N422" s="7">
        <v>7450</v>
      </c>
      <c r="O422" s="7"/>
      <c r="P422" s="6" t="s">
        <v>27</v>
      </c>
      <c r="Q422" s="6" t="s">
        <v>81</v>
      </c>
      <c r="R422" s="4" t="s">
        <v>146</v>
      </c>
      <c r="S422" s="6" t="s">
        <v>85</v>
      </c>
      <c r="T422" s="6" t="s">
        <v>30</v>
      </c>
    </row>
    <row r="423" spans="1:20" x14ac:dyDescent="0.35">
      <c r="A423" s="4">
        <v>44177</v>
      </c>
      <c r="B423" s="5"/>
      <c r="C423" s="5"/>
      <c r="D423" s="5"/>
      <c r="E423" s="5"/>
      <c r="F423" s="6" t="s">
        <v>503</v>
      </c>
      <c r="G423" s="6" t="s">
        <v>489</v>
      </c>
      <c r="H423" s="6" t="s">
        <v>219</v>
      </c>
      <c r="I423" s="6" t="s">
        <v>220</v>
      </c>
      <c r="J423" s="6" t="s">
        <v>150</v>
      </c>
      <c r="K423" s="6" t="s">
        <v>221</v>
      </c>
      <c r="L423" s="6" t="s">
        <v>284</v>
      </c>
      <c r="M423" s="6">
        <v>10</v>
      </c>
      <c r="N423" s="7">
        <v>2780</v>
      </c>
      <c r="O423" s="7"/>
      <c r="P423" s="6" t="s">
        <v>27</v>
      </c>
      <c r="Q423" s="6" t="s">
        <v>81</v>
      </c>
      <c r="R423" s="4" t="s">
        <v>146</v>
      </c>
      <c r="S423" s="6" t="s">
        <v>85</v>
      </c>
      <c r="T423" s="6" t="s">
        <v>30</v>
      </c>
    </row>
    <row r="424" spans="1:20" x14ac:dyDescent="0.35">
      <c r="A424" s="4">
        <v>44177</v>
      </c>
      <c r="B424" s="5"/>
      <c r="C424" s="5"/>
      <c r="D424" s="5"/>
      <c r="E424" s="5"/>
      <c r="F424" s="6" t="s">
        <v>504</v>
      </c>
      <c r="G424" s="6" t="s">
        <v>304</v>
      </c>
      <c r="H424" s="6" t="s">
        <v>200</v>
      </c>
      <c r="I424" s="6" t="s">
        <v>286</v>
      </c>
      <c r="J424" s="6" t="s">
        <v>150</v>
      </c>
      <c r="K424" s="6" t="s">
        <v>166</v>
      </c>
      <c r="L424" s="6" t="s">
        <v>287</v>
      </c>
      <c r="M424" s="6">
        <v>1</v>
      </c>
      <c r="N424" s="7">
        <v>23680</v>
      </c>
      <c r="O424" s="7"/>
      <c r="P424" s="6" t="s">
        <v>27</v>
      </c>
      <c r="Q424" s="6" t="s">
        <v>153</v>
      </c>
      <c r="R424" s="4" t="s">
        <v>146</v>
      </c>
      <c r="S424" s="6" t="s">
        <v>29</v>
      </c>
      <c r="T424" s="6" t="s">
        <v>30</v>
      </c>
    </row>
    <row r="425" spans="1:20" x14ac:dyDescent="0.35">
      <c r="A425" s="4">
        <v>44177</v>
      </c>
      <c r="B425" s="5"/>
      <c r="C425" s="5"/>
      <c r="D425" s="5"/>
      <c r="E425" s="5"/>
      <c r="F425" s="6" t="s">
        <v>504</v>
      </c>
      <c r="G425" s="6" t="s">
        <v>304</v>
      </c>
      <c r="H425" s="6" t="s">
        <v>200</v>
      </c>
      <c r="I425" s="6" t="s">
        <v>201</v>
      </c>
      <c r="J425" s="6" t="s">
        <v>150</v>
      </c>
      <c r="K425" s="6" t="s">
        <v>166</v>
      </c>
      <c r="L425" s="6" t="s">
        <v>213</v>
      </c>
      <c r="M425" s="6">
        <v>1</v>
      </c>
      <c r="N425" s="7">
        <v>8500</v>
      </c>
      <c r="O425" s="7"/>
      <c r="P425" s="6" t="s">
        <v>27</v>
      </c>
      <c r="Q425" s="6" t="s">
        <v>153</v>
      </c>
      <c r="R425" s="4" t="s">
        <v>146</v>
      </c>
      <c r="S425" s="6" t="s">
        <v>29</v>
      </c>
      <c r="T425" s="6" t="s">
        <v>30</v>
      </c>
    </row>
    <row r="426" spans="1:20" x14ac:dyDescent="0.35">
      <c r="A426" s="4">
        <v>44177</v>
      </c>
      <c r="B426" s="5"/>
      <c r="C426" s="5"/>
      <c r="D426" s="5"/>
      <c r="E426" s="5"/>
      <c r="F426" s="6" t="s">
        <v>504</v>
      </c>
      <c r="G426" s="6" t="s">
        <v>304</v>
      </c>
      <c r="H426" s="6" t="s">
        <v>39</v>
      </c>
      <c r="I426" s="6" t="s">
        <v>268</v>
      </c>
      <c r="J426" s="6" t="s">
        <v>150</v>
      </c>
      <c r="K426" s="6" t="s">
        <v>166</v>
      </c>
      <c r="L426" s="6" t="s">
        <v>457</v>
      </c>
      <c r="M426" s="6">
        <v>1</v>
      </c>
      <c r="N426" s="7">
        <v>3750</v>
      </c>
      <c r="O426" s="7"/>
      <c r="P426" s="6" t="s">
        <v>27</v>
      </c>
      <c r="Q426" s="6" t="s">
        <v>153</v>
      </c>
      <c r="R426" s="4" t="s">
        <v>146</v>
      </c>
      <c r="S426" s="6" t="s">
        <v>29</v>
      </c>
      <c r="T426" s="6" t="s">
        <v>30</v>
      </c>
    </row>
    <row r="427" spans="1:20" x14ac:dyDescent="0.35">
      <c r="A427" s="4">
        <v>44177</v>
      </c>
      <c r="B427" s="5"/>
      <c r="C427" s="5"/>
      <c r="D427" s="5"/>
      <c r="E427" s="5"/>
      <c r="F427" s="6" t="s">
        <v>505</v>
      </c>
      <c r="G427" s="6" t="s">
        <v>506</v>
      </c>
      <c r="H427" s="6" t="s">
        <v>219</v>
      </c>
      <c r="I427" s="6" t="s">
        <v>220</v>
      </c>
      <c r="J427" s="6" t="s">
        <v>150</v>
      </c>
      <c r="K427" s="6" t="s">
        <v>221</v>
      </c>
      <c r="L427" s="6" t="s">
        <v>284</v>
      </c>
      <c r="M427" s="6">
        <v>1</v>
      </c>
      <c r="N427" s="7">
        <v>2780</v>
      </c>
      <c r="O427" s="7"/>
      <c r="P427" s="6" t="s">
        <v>27</v>
      </c>
      <c r="Q427" s="6" t="s">
        <v>331</v>
      </c>
      <c r="R427" s="4" t="s">
        <v>146</v>
      </c>
      <c r="S427" s="6" t="s">
        <v>29</v>
      </c>
      <c r="T427" s="6" t="s">
        <v>36</v>
      </c>
    </row>
    <row r="428" spans="1:20" x14ac:dyDescent="0.35">
      <c r="A428" s="4">
        <v>44177</v>
      </c>
      <c r="B428" s="5"/>
      <c r="C428" s="5"/>
      <c r="D428" s="5"/>
      <c r="E428" s="5"/>
      <c r="F428" s="6" t="s">
        <v>505</v>
      </c>
      <c r="G428" s="6" t="s">
        <v>506</v>
      </c>
      <c r="H428" s="6" t="s">
        <v>39</v>
      </c>
      <c r="I428" s="6" t="s">
        <v>172</v>
      </c>
      <c r="J428" s="6" t="s">
        <v>150</v>
      </c>
      <c r="K428" s="6" t="s">
        <v>166</v>
      </c>
      <c r="L428" s="6" t="s">
        <v>507</v>
      </c>
      <c r="M428" s="6">
        <v>1</v>
      </c>
      <c r="N428" s="7">
        <v>10650</v>
      </c>
      <c r="O428" s="7"/>
      <c r="P428" s="6" t="s">
        <v>27</v>
      </c>
      <c r="Q428" s="6" t="s">
        <v>331</v>
      </c>
      <c r="R428" s="4" t="s">
        <v>146</v>
      </c>
      <c r="S428" s="6" t="s">
        <v>29</v>
      </c>
      <c r="T428" s="6" t="s">
        <v>36</v>
      </c>
    </row>
    <row r="429" spans="1:20" x14ac:dyDescent="0.35">
      <c r="A429" s="4">
        <v>44177</v>
      </c>
      <c r="B429" s="5"/>
      <c r="C429" s="5"/>
      <c r="D429" s="5"/>
      <c r="E429" s="5"/>
      <c r="F429" s="6" t="s">
        <v>505</v>
      </c>
      <c r="G429" s="6" t="s">
        <v>506</v>
      </c>
      <c r="H429" s="6" t="s">
        <v>340</v>
      </c>
      <c r="I429" s="6" t="s">
        <v>341</v>
      </c>
      <c r="J429" s="6" t="s">
        <v>150</v>
      </c>
      <c r="K429" s="6" t="s">
        <v>242</v>
      </c>
      <c r="L429" s="6" t="s">
        <v>344</v>
      </c>
      <c r="M429" s="6">
        <v>1</v>
      </c>
      <c r="N429" s="6">
        <v>1</v>
      </c>
      <c r="O429" s="7"/>
      <c r="P429" s="6" t="s">
        <v>27</v>
      </c>
      <c r="Q429" s="6" t="s">
        <v>331</v>
      </c>
      <c r="R429" s="4" t="s">
        <v>146</v>
      </c>
      <c r="S429" s="6" t="s">
        <v>29</v>
      </c>
      <c r="T429" s="6" t="s">
        <v>36</v>
      </c>
    </row>
    <row r="430" spans="1:20" x14ac:dyDescent="0.35">
      <c r="A430" s="4">
        <v>44177</v>
      </c>
      <c r="B430" s="5"/>
      <c r="C430" s="5"/>
      <c r="D430" s="5"/>
      <c r="E430" s="5"/>
      <c r="F430" s="6" t="s">
        <v>505</v>
      </c>
      <c r="G430" s="6" t="s">
        <v>506</v>
      </c>
      <c r="H430" s="6" t="s">
        <v>340</v>
      </c>
      <c r="I430" s="6" t="s">
        <v>341</v>
      </c>
      <c r="J430" s="6" t="s">
        <v>150</v>
      </c>
      <c r="K430" s="6" t="s">
        <v>242</v>
      </c>
      <c r="L430" s="6" t="s">
        <v>342</v>
      </c>
      <c r="M430" s="6">
        <v>2</v>
      </c>
      <c r="N430" s="7">
        <v>1500</v>
      </c>
      <c r="O430" s="7"/>
      <c r="P430" s="6" t="s">
        <v>27</v>
      </c>
      <c r="Q430" s="6" t="s">
        <v>331</v>
      </c>
      <c r="R430" s="4" t="s">
        <v>146</v>
      </c>
      <c r="S430" s="6" t="s">
        <v>29</v>
      </c>
      <c r="T430" s="6" t="s">
        <v>36</v>
      </c>
    </row>
    <row r="431" spans="1:20" x14ac:dyDescent="0.35">
      <c r="A431" s="4">
        <v>44177</v>
      </c>
      <c r="B431" s="5"/>
      <c r="C431" s="5"/>
      <c r="D431" s="5"/>
      <c r="E431" s="5"/>
      <c r="F431" s="6" t="s">
        <v>508</v>
      </c>
      <c r="G431" s="6" t="s">
        <v>509</v>
      </c>
      <c r="H431" s="6" t="s">
        <v>44</v>
      </c>
      <c r="I431" s="6" t="s">
        <v>149</v>
      </c>
      <c r="J431" s="6" t="s">
        <v>150</v>
      </c>
      <c r="K431" s="6" t="s">
        <v>151</v>
      </c>
      <c r="L431" s="6" t="s">
        <v>155</v>
      </c>
      <c r="M431" s="6">
        <v>2</v>
      </c>
      <c r="N431" s="7">
        <v>9150</v>
      </c>
      <c r="O431" s="7"/>
      <c r="P431" s="6" t="s">
        <v>27</v>
      </c>
      <c r="Q431" s="6" t="s">
        <v>510</v>
      </c>
      <c r="R431" s="4" t="s">
        <v>146</v>
      </c>
      <c r="S431" s="6" t="s">
        <v>29</v>
      </c>
      <c r="T431" s="6" t="s">
        <v>36</v>
      </c>
    </row>
    <row r="432" spans="1:20" x14ac:dyDescent="0.35">
      <c r="A432" s="4">
        <v>44177</v>
      </c>
      <c r="B432" s="5"/>
      <c r="C432" s="5"/>
      <c r="D432" s="5"/>
      <c r="E432" s="5"/>
      <c r="F432" s="6" t="s">
        <v>508</v>
      </c>
      <c r="G432" s="6" t="s">
        <v>509</v>
      </c>
      <c r="H432" s="6" t="s">
        <v>39</v>
      </c>
      <c r="I432" s="6" t="s">
        <v>172</v>
      </c>
      <c r="J432" s="6" t="s">
        <v>150</v>
      </c>
      <c r="K432" s="6" t="s">
        <v>166</v>
      </c>
      <c r="L432" s="6" t="s">
        <v>507</v>
      </c>
      <c r="M432" s="6">
        <v>1</v>
      </c>
      <c r="N432" s="7">
        <v>10650</v>
      </c>
      <c r="O432" s="7"/>
      <c r="P432" s="6" t="s">
        <v>27</v>
      </c>
      <c r="Q432" s="6" t="s">
        <v>510</v>
      </c>
      <c r="R432" s="4" t="s">
        <v>146</v>
      </c>
      <c r="S432" s="6" t="s">
        <v>29</v>
      </c>
      <c r="T432" s="6" t="s">
        <v>36</v>
      </c>
    </row>
    <row r="433" spans="1:20" x14ac:dyDescent="0.35">
      <c r="A433" s="4">
        <v>44177</v>
      </c>
      <c r="B433" s="5"/>
      <c r="C433" s="5"/>
      <c r="D433" s="5"/>
      <c r="E433" s="5"/>
      <c r="F433" s="6" t="s">
        <v>508</v>
      </c>
      <c r="G433" s="6" t="s">
        <v>509</v>
      </c>
      <c r="H433" s="6" t="s">
        <v>219</v>
      </c>
      <c r="I433" s="6" t="s">
        <v>220</v>
      </c>
      <c r="J433" s="6" t="s">
        <v>150</v>
      </c>
      <c r="K433" s="6" t="s">
        <v>221</v>
      </c>
      <c r="L433" s="6" t="s">
        <v>307</v>
      </c>
      <c r="M433" s="6">
        <v>5</v>
      </c>
      <c r="N433" s="7">
        <v>2080</v>
      </c>
      <c r="O433" s="7"/>
      <c r="P433" s="6" t="s">
        <v>27</v>
      </c>
      <c r="Q433" s="6" t="s">
        <v>510</v>
      </c>
      <c r="R433" s="4" t="s">
        <v>146</v>
      </c>
      <c r="S433" s="6" t="s">
        <v>29</v>
      </c>
      <c r="T433" s="6" t="s">
        <v>36</v>
      </c>
    </row>
    <row r="434" spans="1:20" x14ac:dyDescent="0.35">
      <c r="A434" s="4">
        <v>44177</v>
      </c>
      <c r="B434" s="5"/>
      <c r="C434" s="5"/>
      <c r="D434" s="5"/>
      <c r="E434" s="5"/>
      <c r="F434" s="6" t="s">
        <v>508</v>
      </c>
      <c r="G434" s="6" t="s">
        <v>509</v>
      </c>
      <c r="H434" s="6" t="s">
        <v>340</v>
      </c>
      <c r="I434" s="6" t="s">
        <v>341</v>
      </c>
      <c r="J434" s="6" t="s">
        <v>150</v>
      </c>
      <c r="K434" s="6" t="s">
        <v>242</v>
      </c>
      <c r="L434" s="6" t="s">
        <v>344</v>
      </c>
      <c r="M434" s="6">
        <v>1</v>
      </c>
      <c r="N434" s="6">
        <v>1</v>
      </c>
      <c r="O434" s="7"/>
      <c r="P434" s="6" t="s">
        <v>27</v>
      </c>
      <c r="Q434" s="6" t="s">
        <v>510</v>
      </c>
      <c r="R434" s="4" t="s">
        <v>146</v>
      </c>
      <c r="S434" s="6" t="s">
        <v>29</v>
      </c>
      <c r="T434" s="6" t="s">
        <v>36</v>
      </c>
    </row>
    <row r="435" spans="1:20" x14ac:dyDescent="0.35">
      <c r="A435" s="4">
        <v>44177</v>
      </c>
      <c r="B435" s="5"/>
      <c r="C435" s="5"/>
      <c r="D435" s="5"/>
      <c r="E435" s="5"/>
      <c r="F435" s="6" t="s">
        <v>508</v>
      </c>
      <c r="G435" s="6" t="s">
        <v>509</v>
      </c>
      <c r="H435" s="6" t="s">
        <v>340</v>
      </c>
      <c r="I435" s="6" t="s">
        <v>341</v>
      </c>
      <c r="J435" s="6" t="s">
        <v>150</v>
      </c>
      <c r="K435" s="6" t="s">
        <v>242</v>
      </c>
      <c r="L435" s="6" t="s">
        <v>342</v>
      </c>
      <c r="M435" s="6">
        <v>5</v>
      </c>
      <c r="N435" s="7">
        <v>1500</v>
      </c>
      <c r="O435" s="7"/>
      <c r="P435" s="6" t="s">
        <v>27</v>
      </c>
      <c r="Q435" s="6" t="s">
        <v>510</v>
      </c>
      <c r="R435" s="4" t="s">
        <v>146</v>
      </c>
      <c r="S435" s="6" t="s">
        <v>29</v>
      </c>
      <c r="T435" s="6"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4BFDC-3136-41C4-A0BB-70622053CE50}">
  <dimension ref="A1:W435"/>
  <sheetViews>
    <sheetView topLeftCell="H1" workbookViewId="0">
      <selection activeCell="W5" sqref="W5"/>
    </sheetView>
  </sheetViews>
  <sheetFormatPr defaultRowHeight="14.5" x14ac:dyDescent="0.35"/>
  <cols>
    <col min="7" max="7" width="23.7265625" bestFit="1" customWidth="1"/>
    <col min="22" max="22" width="12.36328125" bestFit="1" customWidth="1"/>
    <col min="23" max="23" width="13.54296875" bestFit="1" customWidth="1"/>
  </cols>
  <sheetData>
    <row r="1" spans="1:23" x14ac:dyDescent="0.35">
      <c r="A1" s="8" t="s">
        <v>0</v>
      </c>
      <c r="B1" s="9" t="s">
        <v>1</v>
      </c>
      <c r="C1" s="9" t="s">
        <v>2</v>
      </c>
      <c r="D1" s="9" t="s">
        <v>3</v>
      </c>
      <c r="E1" s="9" t="s">
        <v>4</v>
      </c>
      <c r="F1" s="10" t="s">
        <v>5</v>
      </c>
      <c r="G1" s="10" t="s">
        <v>6</v>
      </c>
      <c r="H1" s="10" t="s">
        <v>7</v>
      </c>
      <c r="I1" s="10" t="s">
        <v>8</v>
      </c>
      <c r="J1" s="10" t="s">
        <v>9</v>
      </c>
      <c r="K1" s="10" t="s">
        <v>10</v>
      </c>
      <c r="L1" s="10" t="s">
        <v>11</v>
      </c>
      <c r="M1" s="10" t="s">
        <v>12</v>
      </c>
      <c r="N1" s="10" t="s">
        <v>13</v>
      </c>
      <c r="O1" s="10" t="s">
        <v>14</v>
      </c>
      <c r="P1" s="10" t="s">
        <v>15</v>
      </c>
      <c r="Q1" s="10" t="s">
        <v>16</v>
      </c>
      <c r="R1" s="8" t="s">
        <v>17</v>
      </c>
      <c r="S1" s="10" t="s">
        <v>18</v>
      </c>
      <c r="T1" s="10" t="s">
        <v>19</v>
      </c>
    </row>
    <row r="2" spans="1:23" x14ac:dyDescent="0.35">
      <c r="A2" s="4">
        <v>43842</v>
      </c>
      <c r="B2" s="5">
        <f t="shared" ref="B2:B65" si="0">YEAR(A2)</f>
        <v>2020</v>
      </c>
      <c r="C2" s="5">
        <f t="shared" ref="C2:C65" si="1">MONTH(A2)</f>
        <v>1</v>
      </c>
      <c r="D2" s="5">
        <f t="shared" ref="D2:D65" si="2">DAY(A2)</f>
        <v>12</v>
      </c>
      <c r="E2" s="5" t="str">
        <f t="shared" ref="E2:E65" si="3">TEXT(A2,"MMMM")</f>
        <v>January</v>
      </c>
      <c r="F2" s="6" t="s">
        <v>20</v>
      </c>
      <c r="G2" s="6" t="s">
        <v>21</v>
      </c>
      <c r="H2" s="6" t="s">
        <v>22</v>
      </c>
      <c r="I2" s="6" t="s">
        <v>23</v>
      </c>
      <c r="J2" s="6" t="s">
        <v>24</v>
      </c>
      <c r="K2" s="6" t="s">
        <v>25</v>
      </c>
      <c r="L2" s="6" t="s">
        <v>26</v>
      </c>
      <c r="M2" s="6">
        <v>2</v>
      </c>
      <c r="N2" s="7">
        <v>7000</v>
      </c>
      <c r="O2" s="7">
        <f t="shared" ref="O2:O65" si="4">M2*N2</f>
        <v>14000</v>
      </c>
      <c r="P2" s="6" t="s">
        <v>27</v>
      </c>
      <c r="Q2" s="6" t="s">
        <v>28</v>
      </c>
      <c r="R2" s="4">
        <v>43873</v>
      </c>
      <c r="S2" s="6" t="s">
        <v>29</v>
      </c>
      <c r="T2" s="6" t="s">
        <v>30</v>
      </c>
    </row>
    <row r="3" spans="1:23" x14ac:dyDescent="0.35">
      <c r="A3" s="4">
        <v>43842</v>
      </c>
      <c r="B3" s="5">
        <f t="shared" si="0"/>
        <v>2020</v>
      </c>
      <c r="C3" s="5">
        <f t="shared" si="1"/>
        <v>1</v>
      </c>
      <c r="D3" s="5">
        <f t="shared" si="2"/>
        <v>12</v>
      </c>
      <c r="E3" s="5" t="str">
        <f t="shared" si="3"/>
        <v>January</v>
      </c>
      <c r="F3" s="6" t="s">
        <v>20</v>
      </c>
      <c r="G3" s="6" t="s">
        <v>21</v>
      </c>
      <c r="H3" s="6" t="s">
        <v>22</v>
      </c>
      <c r="I3" s="6" t="s">
        <v>23</v>
      </c>
      <c r="J3" s="6" t="s">
        <v>24</v>
      </c>
      <c r="K3" s="6" t="s">
        <v>25</v>
      </c>
      <c r="L3" s="6" t="s">
        <v>31</v>
      </c>
      <c r="M3" s="6">
        <v>1</v>
      </c>
      <c r="N3" s="7">
        <v>7000</v>
      </c>
      <c r="O3" s="7">
        <f t="shared" si="4"/>
        <v>7000</v>
      </c>
      <c r="P3" s="6" t="s">
        <v>27</v>
      </c>
      <c r="Q3" s="6" t="s">
        <v>28</v>
      </c>
      <c r="R3" s="4">
        <v>43873</v>
      </c>
      <c r="S3" s="6" t="s">
        <v>29</v>
      </c>
      <c r="T3" s="6" t="s">
        <v>30</v>
      </c>
      <c r="W3" s="13"/>
    </row>
    <row r="4" spans="1:23" x14ac:dyDescent="0.35">
      <c r="A4" s="4">
        <v>43842</v>
      </c>
      <c r="B4" s="5">
        <f t="shared" si="0"/>
        <v>2020</v>
      </c>
      <c r="C4" s="5">
        <f t="shared" si="1"/>
        <v>1</v>
      </c>
      <c r="D4" s="5">
        <f t="shared" si="2"/>
        <v>12</v>
      </c>
      <c r="E4" s="5" t="str">
        <f t="shared" si="3"/>
        <v>January</v>
      </c>
      <c r="F4" s="6" t="s">
        <v>20</v>
      </c>
      <c r="G4" s="6" t="s">
        <v>21</v>
      </c>
      <c r="H4" s="6" t="s">
        <v>22</v>
      </c>
      <c r="I4" s="6" t="s">
        <v>23</v>
      </c>
      <c r="J4" s="6" t="s">
        <v>24</v>
      </c>
      <c r="K4" s="6" t="s">
        <v>25</v>
      </c>
      <c r="L4" s="6" t="s">
        <v>32</v>
      </c>
      <c r="M4" s="6">
        <v>1</v>
      </c>
      <c r="N4" s="7">
        <v>7000</v>
      </c>
      <c r="O4" s="7">
        <f t="shared" si="4"/>
        <v>7000</v>
      </c>
      <c r="P4" s="6" t="s">
        <v>27</v>
      </c>
      <c r="Q4" s="6" t="s">
        <v>28</v>
      </c>
      <c r="R4" s="4">
        <v>43873</v>
      </c>
      <c r="S4" s="6" t="s">
        <v>29</v>
      </c>
      <c r="T4" s="6" t="s">
        <v>30</v>
      </c>
      <c r="V4" s="6" t="s">
        <v>533</v>
      </c>
      <c r="W4" s="15">
        <f>SUM(O3:O436)</f>
        <v>8070704.5</v>
      </c>
    </row>
    <row r="5" spans="1:23" x14ac:dyDescent="0.35">
      <c r="A5" s="4">
        <v>43842</v>
      </c>
      <c r="B5" s="5">
        <f t="shared" si="0"/>
        <v>2020</v>
      </c>
      <c r="C5" s="5">
        <f t="shared" si="1"/>
        <v>1</v>
      </c>
      <c r="D5" s="5">
        <f t="shared" si="2"/>
        <v>12</v>
      </c>
      <c r="E5" s="5" t="str">
        <f t="shared" si="3"/>
        <v>January</v>
      </c>
      <c r="F5" s="6" t="s">
        <v>33</v>
      </c>
      <c r="G5" s="6" t="s">
        <v>34</v>
      </c>
      <c r="H5" s="6" t="s">
        <v>22</v>
      </c>
      <c r="I5" s="6" t="s">
        <v>23</v>
      </c>
      <c r="J5" s="6" t="s">
        <v>24</v>
      </c>
      <c r="K5" s="6" t="s">
        <v>25</v>
      </c>
      <c r="L5" s="6" t="s">
        <v>26</v>
      </c>
      <c r="M5" s="6">
        <v>1</v>
      </c>
      <c r="N5" s="7">
        <v>7000</v>
      </c>
      <c r="O5" s="7">
        <f t="shared" si="4"/>
        <v>7000</v>
      </c>
      <c r="P5" s="6" t="s">
        <v>27</v>
      </c>
      <c r="Q5" s="6" t="s">
        <v>35</v>
      </c>
      <c r="R5" s="4">
        <v>43873</v>
      </c>
      <c r="S5" s="6" t="s">
        <v>29</v>
      </c>
      <c r="T5" s="6" t="s">
        <v>36</v>
      </c>
      <c r="V5" s="6" t="s">
        <v>538</v>
      </c>
      <c r="W5">
        <f>GETPIVOTDATA("[Measures].[Distinct Count of Order No.]",Chart2!$O$5)</f>
        <v>171</v>
      </c>
    </row>
    <row r="6" spans="1:23" x14ac:dyDescent="0.35">
      <c r="A6" s="4">
        <v>43842</v>
      </c>
      <c r="B6" s="5">
        <f t="shared" si="0"/>
        <v>2020</v>
      </c>
      <c r="C6" s="5">
        <f t="shared" si="1"/>
        <v>1</v>
      </c>
      <c r="D6" s="5">
        <f t="shared" si="2"/>
        <v>12</v>
      </c>
      <c r="E6" s="5" t="str">
        <f t="shared" si="3"/>
        <v>January</v>
      </c>
      <c r="F6" s="6" t="s">
        <v>33</v>
      </c>
      <c r="G6" s="6" t="s">
        <v>34</v>
      </c>
      <c r="H6" s="6" t="s">
        <v>22</v>
      </c>
      <c r="I6" s="6" t="s">
        <v>23</v>
      </c>
      <c r="J6" s="6" t="s">
        <v>24</v>
      </c>
      <c r="K6" s="6" t="s">
        <v>25</v>
      </c>
      <c r="L6" s="6" t="s">
        <v>32</v>
      </c>
      <c r="M6" s="6">
        <v>1</v>
      </c>
      <c r="N6" s="7">
        <v>7000</v>
      </c>
      <c r="O6" s="7">
        <f t="shared" si="4"/>
        <v>7000</v>
      </c>
      <c r="P6" s="6" t="s">
        <v>27</v>
      </c>
      <c r="Q6" s="6" t="s">
        <v>35</v>
      </c>
      <c r="R6" s="4">
        <v>43873</v>
      </c>
      <c r="S6" s="6" t="s">
        <v>29</v>
      </c>
      <c r="T6" s="6" t="s">
        <v>36</v>
      </c>
      <c r="V6" s="6" t="s">
        <v>534</v>
      </c>
      <c r="W6">
        <f>GETPIVOTDATA("[Measures].[Distinct Count of Customer Name]",Chart5!$Q$3)</f>
        <v>104</v>
      </c>
    </row>
    <row r="7" spans="1:23" x14ac:dyDescent="0.35">
      <c r="A7" s="4">
        <v>43842</v>
      </c>
      <c r="B7" s="5">
        <f t="shared" si="0"/>
        <v>2020</v>
      </c>
      <c r="C7" s="5">
        <f t="shared" si="1"/>
        <v>1</v>
      </c>
      <c r="D7" s="5">
        <f t="shared" si="2"/>
        <v>12</v>
      </c>
      <c r="E7" s="5" t="str">
        <f t="shared" si="3"/>
        <v>January</v>
      </c>
      <c r="F7" s="6" t="s">
        <v>37</v>
      </c>
      <c r="G7" s="6" t="s">
        <v>38</v>
      </c>
      <c r="H7" s="6" t="s">
        <v>39</v>
      </c>
      <c r="I7" s="6" t="s">
        <v>40</v>
      </c>
      <c r="J7" s="6" t="s">
        <v>24</v>
      </c>
      <c r="K7" s="6" t="s">
        <v>41</v>
      </c>
      <c r="L7" s="6" t="s">
        <v>42</v>
      </c>
      <c r="M7" s="6">
        <v>1</v>
      </c>
      <c r="N7" s="7">
        <v>16800</v>
      </c>
      <c r="O7" s="7">
        <f t="shared" si="4"/>
        <v>16800</v>
      </c>
      <c r="P7" s="6" t="s">
        <v>27</v>
      </c>
      <c r="Q7" s="6" t="s">
        <v>43</v>
      </c>
      <c r="R7" s="4">
        <v>43873</v>
      </c>
      <c r="S7" s="6" t="s">
        <v>29</v>
      </c>
      <c r="T7" s="6" t="s">
        <v>30</v>
      </c>
      <c r="V7" s="6" t="s">
        <v>535</v>
      </c>
      <c r="W7">
        <f>GETPIVOTDATA("[Measures].[Distinct Count of Product]",Chart2!$R$5)</f>
        <v>30</v>
      </c>
    </row>
    <row r="8" spans="1:23" x14ac:dyDescent="0.35">
      <c r="A8" s="4">
        <v>43842</v>
      </c>
      <c r="B8" s="5">
        <f t="shared" si="0"/>
        <v>2020</v>
      </c>
      <c r="C8" s="5">
        <f t="shared" si="1"/>
        <v>1</v>
      </c>
      <c r="D8" s="5">
        <f t="shared" si="2"/>
        <v>12</v>
      </c>
      <c r="E8" s="5" t="str">
        <f t="shared" si="3"/>
        <v>January</v>
      </c>
      <c r="F8" s="6" t="s">
        <v>37</v>
      </c>
      <c r="G8" s="6" t="s">
        <v>38</v>
      </c>
      <c r="H8" s="6" t="s">
        <v>44</v>
      </c>
      <c r="I8" s="6" t="s">
        <v>45</v>
      </c>
      <c r="J8" s="6" t="s">
        <v>24</v>
      </c>
      <c r="K8" s="6" t="s">
        <v>41</v>
      </c>
      <c r="L8" s="6" t="s">
        <v>46</v>
      </c>
      <c r="M8" s="6">
        <v>1</v>
      </c>
      <c r="N8" s="7">
        <v>24350</v>
      </c>
      <c r="O8" s="7">
        <f t="shared" si="4"/>
        <v>24350</v>
      </c>
      <c r="P8" s="6" t="s">
        <v>27</v>
      </c>
      <c r="Q8" s="6" t="s">
        <v>43</v>
      </c>
      <c r="R8" s="4">
        <v>43873</v>
      </c>
      <c r="S8" s="6" t="s">
        <v>29</v>
      </c>
      <c r="T8" s="6" t="s">
        <v>30</v>
      </c>
    </row>
    <row r="9" spans="1:23" x14ac:dyDescent="0.35">
      <c r="A9" s="4">
        <v>43873</v>
      </c>
      <c r="B9" s="5">
        <f t="shared" si="0"/>
        <v>2020</v>
      </c>
      <c r="C9" s="5">
        <f t="shared" si="1"/>
        <v>2</v>
      </c>
      <c r="D9" s="5">
        <f t="shared" si="2"/>
        <v>12</v>
      </c>
      <c r="E9" s="5" t="str">
        <f t="shared" si="3"/>
        <v>February</v>
      </c>
      <c r="F9" s="6" t="s">
        <v>47</v>
      </c>
      <c r="G9" s="6" t="s">
        <v>511</v>
      </c>
      <c r="H9" s="6" t="s">
        <v>22</v>
      </c>
      <c r="I9" s="6" t="s">
        <v>49</v>
      </c>
      <c r="J9" s="6" t="s">
        <v>24</v>
      </c>
      <c r="K9" s="6" t="s">
        <v>25</v>
      </c>
      <c r="L9" s="6" t="s">
        <v>50</v>
      </c>
      <c r="M9" s="6">
        <v>1</v>
      </c>
      <c r="N9" s="7">
        <v>12200</v>
      </c>
      <c r="O9" s="7">
        <f t="shared" si="4"/>
        <v>12200</v>
      </c>
      <c r="P9" s="6" t="s">
        <v>27</v>
      </c>
      <c r="Q9" s="6" t="s">
        <v>35</v>
      </c>
      <c r="R9" s="4">
        <v>43902</v>
      </c>
      <c r="S9" s="6" t="s">
        <v>29</v>
      </c>
      <c r="T9" s="6" t="s">
        <v>36</v>
      </c>
    </row>
    <row r="10" spans="1:23" x14ac:dyDescent="0.35">
      <c r="A10" s="4">
        <v>43873</v>
      </c>
      <c r="B10" s="5">
        <f t="shared" si="0"/>
        <v>2020</v>
      </c>
      <c r="C10" s="5">
        <f t="shared" si="1"/>
        <v>2</v>
      </c>
      <c r="D10" s="5">
        <f t="shared" si="2"/>
        <v>12</v>
      </c>
      <c r="E10" s="5" t="str">
        <f t="shared" si="3"/>
        <v>February</v>
      </c>
      <c r="F10" s="6" t="s">
        <v>47</v>
      </c>
      <c r="G10" s="6" t="s">
        <v>511</v>
      </c>
      <c r="H10" s="6" t="s">
        <v>22</v>
      </c>
      <c r="I10" s="6" t="s">
        <v>23</v>
      </c>
      <c r="J10" s="6" t="s">
        <v>24</v>
      </c>
      <c r="K10" s="6" t="s">
        <v>25</v>
      </c>
      <c r="L10" s="6" t="s">
        <v>32</v>
      </c>
      <c r="M10" s="6">
        <v>1</v>
      </c>
      <c r="N10" s="7">
        <v>7000</v>
      </c>
      <c r="O10" s="7">
        <f t="shared" si="4"/>
        <v>7000</v>
      </c>
      <c r="P10" s="6" t="s">
        <v>27</v>
      </c>
      <c r="Q10" s="6" t="s">
        <v>35</v>
      </c>
      <c r="R10" s="4">
        <v>43902</v>
      </c>
      <c r="S10" s="6" t="s">
        <v>29</v>
      </c>
      <c r="T10" s="6" t="s">
        <v>36</v>
      </c>
    </row>
    <row r="11" spans="1:23" x14ac:dyDescent="0.35">
      <c r="A11" s="4">
        <v>43873</v>
      </c>
      <c r="B11" s="5">
        <f t="shared" si="0"/>
        <v>2020</v>
      </c>
      <c r="C11" s="5">
        <f t="shared" si="1"/>
        <v>2</v>
      </c>
      <c r="D11" s="5">
        <f t="shared" si="2"/>
        <v>12</v>
      </c>
      <c r="E11" s="5" t="str">
        <f t="shared" si="3"/>
        <v>February</v>
      </c>
      <c r="F11" s="6" t="s">
        <v>51</v>
      </c>
      <c r="G11" s="6" t="s">
        <v>21</v>
      </c>
      <c r="H11" s="6" t="s">
        <v>22</v>
      </c>
      <c r="I11" s="6" t="s">
        <v>23</v>
      </c>
      <c r="J11" s="6" t="s">
        <v>24</v>
      </c>
      <c r="K11" s="6" t="s">
        <v>25</v>
      </c>
      <c r="L11" s="6" t="s">
        <v>26</v>
      </c>
      <c r="M11" s="6">
        <v>5</v>
      </c>
      <c r="N11" s="7">
        <v>7000</v>
      </c>
      <c r="O11" s="7">
        <f t="shared" si="4"/>
        <v>35000</v>
      </c>
      <c r="P11" s="6" t="s">
        <v>27</v>
      </c>
      <c r="Q11" s="6" t="s">
        <v>52</v>
      </c>
      <c r="R11" s="4">
        <v>43902</v>
      </c>
      <c r="S11" s="6" t="s">
        <v>29</v>
      </c>
      <c r="T11" s="6" t="s">
        <v>30</v>
      </c>
    </row>
    <row r="12" spans="1:23" x14ac:dyDescent="0.35">
      <c r="A12" s="4">
        <v>43873</v>
      </c>
      <c r="B12" s="5">
        <f t="shared" si="0"/>
        <v>2020</v>
      </c>
      <c r="C12" s="5">
        <f t="shared" si="1"/>
        <v>2</v>
      </c>
      <c r="D12" s="5">
        <f t="shared" si="2"/>
        <v>12</v>
      </c>
      <c r="E12" s="5" t="str">
        <f t="shared" si="3"/>
        <v>February</v>
      </c>
      <c r="F12" s="6" t="s">
        <v>51</v>
      </c>
      <c r="G12" s="6" t="s">
        <v>21</v>
      </c>
      <c r="H12" s="6" t="s">
        <v>22</v>
      </c>
      <c r="I12" s="6" t="s">
        <v>23</v>
      </c>
      <c r="J12" s="6" t="s">
        <v>24</v>
      </c>
      <c r="K12" s="6" t="s">
        <v>25</v>
      </c>
      <c r="L12" s="6" t="s">
        <v>31</v>
      </c>
      <c r="M12" s="6">
        <v>5</v>
      </c>
      <c r="N12" s="7">
        <v>7000</v>
      </c>
      <c r="O12" s="7">
        <f t="shared" si="4"/>
        <v>35000</v>
      </c>
      <c r="P12" s="6" t="s">
        <v>27</v>
      </c>
      <c r="Q12" s="6" t="s">
        <v>52</v>
      </c>
      <c r="R12" s="4">
        <v>43902</v>
      </c>
      <c r="S12" s="6" t="s">
        <v>29</v>
      </c>
      <c r="T12" s="6" t="s">
        <v>30</v>
      </c>
    </row>
    <row r="13" spans="1:23" x14ac:dyDescent="0.35">
      <c r="A13" s="4">
        <v>43873</v>
      </c>
      <c r="B13" s="5">
        <f t="shared" si="0"/>
        <v>2020</v>
      </c>
      <c r="C13" s="5">
        <f t="shared" si="1"/>
        <v>2</v>
      </c>
      <c r="D13" s="5">
        <f t="shared" si="2"/>
        <v>12</v>
      </c>
      <c r="E13" s="5" t="str">
        <f t="shared" si="3"/>
        <v>February</v>
      </c>
      <c r="F13" s="6" t="s">
        <v>51</v>
      </c>
      <c r="G13" s="6" t="s">
        <v>21</v>
      </c>
      <c r="H13" s="6" t="s">
        <v>22</v>
      </c>
      <c r="I13" s="6" t="s">
        <v>23</v>
      </c>
      <c r="J13" s="6" t="s">
        <v>24</v>
      </c>
      <c r="K13" s="6" t="s">
        <v>25</v>
      </c>
      <c r="L13" s="6" t="s">
        <v>32</v>
      </c>
      <c r="M13" s="6">
        <v>5</v>
      </c>
      <c r="N13" s="7">
        <v>7000</v>
      </c>
      <c r="O13" s="7">
        <f t="shared" si="4"/>
        <v>35000</v>
      </c>
      <c r="P13" s="6" t="s">
        <v>27</v>
      </c>
      <c r="Q13" s="6" t="s">
        <v>52</v>
      </c>
      <c r="R13" s="4">
        <v>43902</v>
      </c>
      <c r="S13" s="6" t="s">
        <v>29</v>
      </c>
      <c r="T13" s="6" t="s">
        <v>30</v>
      </c>
    </row>
    <row r="14" spans="1:23" x14ac:dyDescent="0.35">
      <c r="A14" s="4">
        <v>43873</v>
      </c>
      <c r="B14" s="5">
        <f t="shared" si="0"/>
        <v>2020</v>
      </c>
      <c r="C14" s="5">
        <f t="shared" si="1"/>
        <v>2</v>
      </c>
      <c r="D14" s="5">
        <f t="shared" si="2"/>
        <v>12</v>
      </c>
      <c r="E14" s="5" t="str">
        <f t="shared" si="3"/>
        <v>February</v>
      </c>
      <c r="F14" s="6" t="s">
        <v>53</v>
      </c>
      <c r="G14" s="6" t="s">
        <v>21</v>
      </c>
      <c r="H14" s="6" t="s">
        <v>22</v>
      </c>
      <c r="I14" s="6" t="s">
        <v>23</v>
      </c>
      <c r="J14" s="6" t="s">
        <v>24</v>
      </c>
      <c r="K14" s="6" t="s">
        <v>25</v>
      </c>
      <c r="L14" s="6" t="s">
        <v>26</v>
      </c>
      <c r="M14" s="6">
        <v>5</v>
      </c>
      <c r="N14" s="7">
        <v>7000</v>
      </c>
      <c r="O14" s="7">
        <f t="shared" si="4"/>
        <v>35000</v>
      </c>
      <c r="P14" s="6" t="s">
        <v>27</v>
      </c>
      <c r="Q14" s="6" t="s">
        <v>52</v>
      </c>
      <c r="R14" s="4">
        <v>43902</v>
      </c>
      <c r="S14" s="6" t="s">
        <v>29</v>
      </c>
      <c r="T14" s="6" t="s">
        <v>30</v>
      </c>
    </row>
    <row r="15" spans="1:23" x14ac:dyDescent="0.35">
      <c r="A15" s="4">
        <v>43842</v>
      </c>
      <c r="B15" s="5">
        <f t="shared" si="0"/>
        <v>2020</v>
      </c>
      <c r="C15" s="5">
        <f t="shared" si="1"/>
        <v>1</v>
      </c>
      <c r="D15" s="5">
        <f t="shared" si="2"/>
        <v>12</v>
      </c>
      <c r="E15" s="5" t="str">
        <f t="shared" si="3"/>
        <v>January</v>
      </c>
      <c r="F15" s="6" t="s">
        <v>54</v>
      </c>
      <c r="G15" s="6" t="s">
        <v>55</v>
      </c>
      <c r="H15" s="6" t="s">
        <v>39</v>
      </c>
      <c r="I15" s="6" t="s">
        <v>40</v>
      </c>
      <c r="J15" s="6" t="s">
        <v>24</v>
      </c>
      <c r="K15" s="6" t="s">
        <v>41</v>
      </c>
      <c r="L15" s="6" t="s">
        <v>42</v>
      </c>
      <c r="M15" s="6">
        <v>1</v>
      </c>
      <c r="N15" s="7">
        <v>16800</v>
      </c>
      <c r="O15" s="7">
        <f t="shared" si="4"/>
        <v>16800</v>
      </c>
      <c r="P15" s="6" t="s">
        <v>27</v>
      </c>
      <c r="Q15" s="6" t="s">
        <v>43</v>
      </c>
      <c r="R15" s="4">
        <v>43902</v>
      </c>
      <c r="S15" s="6" t="s">
        <v>56</v>
      </c>
      <c r="T15" s="6" t="s">
        <v>30</v>
      </c>
    </row>
    <row r="16" spans="1:23" x14ac:dyDescent="0.35">
      <c r="A16" s="4">
        <v>43902</v>
      </c>
      <c r="B16" s="5">
        <f t="shared" si="0"/>
        <v>2020</v>
      </c>
      <c r="C16" s="5">
        <f t="shared" si="1"/>
        <v>3</v>
      </c>
      <c r="D16" s="5">
        <f t="shared" si="2"/>
        <v>12</v>
      </c>
      <c r="E16" s="5" t="str">
        <f t="shared" si="3"/>
        <v>March</v>
      </c>
      <c r="F16" s="6" t="s">
        <v>57</v>
      </c>
      <c r="G16" s="6" t="s">
        <v>58</v>
      </c>
      <c r="H16" s="6" t="s">
        <v>22</v>
      </c>
      <c r="I16" s="6" t="s">
        <v>23</v>
      </c>
      <c r="J16" s="6" t="s">
        <v>24</v>
      </c>
      <c r="K16" s="6" t="s">
        <v>25</v>
      </c>
      <c r="L16" s="6" t="s">
        <v>32</v>
      </c>
      <c r="M16" s="6">
        <v>1</v>
      </c>
      <c r="N16" s="7">
        <v>7480</v>
      </c>
      <c r="O16" s="7">
        <f t="shared" si="4"/>
        <v>7480</v>
      </c>
      <c r="P16" s="6" t="s">
        <v>27</v>
      </c>
      <c r="Q16" s="6" t="s">
        <v>52</v>
      </c>
      <c r="R16" s="4">
        <v>43933</v>
      </c>
      <c r="S16" s="6" t="s">
        <v>29</v>
      </c>
      <c r="T16" s="6" t="s">
        <v>36</v>
      </c>
    </row>
    <row r="17" spans="1:20" x14ac:dyDescent="0.35">
      <c r="A17" s="4">
        <v>43933</v>
      </c>
      <c r="B17" s="5">
        <f t="shared" si="0"/>
        <v>2020</v>
      </c>
      <c r="C17" s="5">
        <f t="shared" si="1"/>
        <v>4</v>
      </c>
      <c r="D17" s="5">
        <f t="shared" si="2"/>
        <v>12</v>
      </c>
      <c r="E17" s="5" t="str">
        <f t="shared" si="3"/>
        <v>April</v>
      </c>
      <c r="F17" s="6" t="s">
        <v>59</v>
      </c>
      <c r="G17" s="6" t="s">
        <v>60</v>
      </c>
      <c r="H17" s="6" t="s">
        <v>39</v>
      </c>
      <c r="I17" s="6" t="s">
        <v>40</v>
      </c>
      <c r="J17" s="6" t="s">
        <v>24</v>
      </c>
      <c r="K17" s="6" t="s">
        <v>41</v>
      </c>
      <c r="L17" s="6" t="s">
        <v>42</v>
      </c>
      <c r="M17" s="6">
        <v>1</v>
      </c>
      <c r="N17" s="7">
        <v>16800</v>
      </c>
      <c r="O17" s="7">
        <f t="shared" si="4"/>
        <v>16800</v>
      </c>
      <c r="P17" s="6" t="s">
        <v>27</v>
      </c>
      <c r="Q17" s="6" t="s">
        <v>61</v>
      </c>
      <c r="R17" s="4">
        <v>43963</v>
      </c>
      <c r="S17" s="6" t="s">
        <v>29</v>
      </c>
      <c r="T17" s="6" t="s">
        <v>30</v>
      </c>
    </row>
    <row r="18" spans="1:20" x14ac:dyDescent="0.35">
      <c r="A18" s="4">
        <v>43933</v>
      </c>
      <c r="B18" s="5">
        <f t="shared" si="0"/>
        <v>2020</v>
      </c>
      <c r="C18" s="5">
        <f t="shared" si="1"/>
        <v>4</v>
      </c>
      <c r="D18" s="5">
        <f t="shared" si="2"/>
        <v>12</v>
      </c>
      <c r="E18" s="5" t="str">
        <f t="shared" si="3"/>
        <v>April</v>
      </c>
      <c r="F18" s="6" t="s">
        <v>62</v>
      </c>
      <c r="G18" s="6" t="s">
        <v>63</v>
      </c>
      <c r="H18" s="6" t="s">
        <v>22</v>
      </c>
      <c r="I18" s="6" t="s">
        <v>49</v>
      </c>
      <c r="J18" s="6" t="s">
        <v>24</v>
      </c>
      <c r="K18" s="6" t="s">
        <v>25</v>
      </c>
      <c r="L18" s="6" t="s">
        <v>50</v>
      </c>
      <c r="M18" s="6">
        <v>1</v>
      </c>
      <c r="N18" s="7">
        <v>13100</v>
      </c>
      <c r="O18" s="7">
        <f t="shared" si="4"/>
        <v>13100</v>
      </c>
      <c r="P18" s="6" t="s">
        <v>27</v>
      </c>
      <c r="Q18" s="6" t="s">
        <v>64</v>
      </c>
      <c r="R18" s="4">
        <v>43963</v>
      </c>
      <c r="S18" s="6" t="s">
        <v>29</v>
      </c>
      <c r="T18" s="6" t="s">
        <v>65</v>
      </c>
    </row>
    <row r="19" spans="1:20" x14ac:dyDescent="0.35">
      <c r="A19" s="4">
        <v>43933</v>
      </c>
      <c r="B19" s="5">
        <f t="shared" si="0"/>
        <v>2020</v>
      </c>
      <c r="C19" s="5">
        <f t="shared" si="1"/>
        <v>4</v>
      </c>
      <c r="D19" s="5">
        <f t="shared" si="2"/>
        <v>12</v>
      </c>
      <c r="E19" s="5" t="str">
        <f t="shared" si="3"/>
        <v>April</v>
      </c>
      <c r="F19" s="6" t="s">
        <v>66</v>
      </c>
      <c r="G19" s="6" t="s">
        <v>67</v>
      </c>
      <c r="H19" s="6" t="s">
        <v>44</v>
      </c>
      <c r="I19" s="6" t="s">
        <v>45</v>
      </c>
      <c r="J19" s="6" t="s">
        <v>24</v>
      </c>
      <c r="K19" s="6" t="s">
        <v>41</v>
      </c>
      <c r="L19" s="6" t="s">
        <v>68</v>
      </c>
      <c r="M19" s="6">
        <v>1</v>
      </c>
      <c r="N19" s="7">
        <v>24350</v>
      </c>
      <c r="O19" s="7">
        <f t="shared" si="4"/>
        <v>24350</v>
      </c>
      <c r="P19" s="6" t="s">
        <v>27</v>
      </c>
      <c r="Q19" s="6" t="s">
        <v>52</v>
      </c>
      <c r="R19" s="4">
        <v>43994</v>
      </c>
      <c r="S19" s="6" t="s">
        <v>29</v>
      </c>
      <c r="T19" s="6" t="s">
        <v>65</v>
      </c>
    </row>
    <row r="20" spans="1:20" x14ac:dyDescent="0.35">
      <c r="A20" s="4">
        <v>43933</v>
      </c>
      <c r="B20" s="5">
        <f t="shared" si="0"/>
        <v>2020</v>
      </c>
      <c r="C20" s="5">
        <f t="shared" si="1"/>
        <v>4</v>
      </c>
      <c r="D20" s="5">
        <f t="shared" si="2"/>
        <v>12</v>
      </c>
      <c r="E20" s="5" t="str">
        <f t="shared" si="3"/>
        <v>April</v>
      </c>
      <c r="F20" s="6" t="s">
        <v>66</v>
      </c>
      <c r="G20" s="6" t="s">
        <v>67</v>
      </c>
      <c r="H20" s="6" t="s">
        <v>22</v>
      </c>
      <c r="I20" s="6" t="s">
        <v>49</v>
      </c>
      <c r="J20" s="6" t="s">
        <v>24</v>
      </c>
      <c r="K20" s="6" t="s">
        <v>25</v>
      </c>
      <c r="L20" s="6" t="s">
        <v>50</v>
      </c>
      <c r="M20" s="6">
        <v>2</v>
      </c>
      <c r="N20" s="7">
        <v>13100</v>
      </c>
      <c r="O20" s="7">
        <f t="shared" si="4"/>
        <v>26200</v>
      </c>
      <c r="P20" s="6" t="s">
        <v>27</v>
      </c>
      <c r="Q20" s="6" t="s">
        <v>52</v>
      </c>
      <c r="R20" s="4">
        <v>43994</v>
      </c>
      <c r="S20" s="6" t="s">
        <v>29</v>
      </c>
      <c r="T20" s="6" t="s">
        <v>65</v>
      </c>
    </row>
    <row r="21" spans="1:20" x14ac:dyDescent="0.35">
      <c r="A21" s="4">
        <v>43933</v>
      </c>
      <c r="B21" s="5">
        <f t="shared" si="0"/>
        <v>2020</v>
      </c>
      <c r="C21" s="5">
        <f t="shared" si="1"/>
        <v>4</v>
      </c>
      <c r="D21" s="5">
        <f t="shared" si="2"/>
        <v>12</v>
      </c>
      <c r="E21" s="5" t="str">
        <f t="shared" si="3"/>
        <v>April</v>
      </c>
      <c r="F21" s="6" t="s">
        <v>66</v>
      </c>
      <c r="G21" s="6" t="s">
        <v>67</v>
      </c>
      <c r="H21" s="6" t="s">
        <v>22</v>
      </c>
      <c r="I21" s="6" t="s">
        <v>69</v>
      </c>
      <c r="J21" s="6" t="s">
        <v>24</v>
      </c>
      <c r="K21" s="6" t="s">
        <v>25</v>
      </c>
      <c r="L21" s="6" t="s">
        <v>70</v>
      </c>
      <c r="M21" s="6">
        <v>5</v>
      </c>
      <c r="N21" s="7">
        <v>4700</v>
      </c>
      <c r="O21" s="7">
        <f t="shared" si="4"/>
        <v>23500</v>
      </c>
      <c r="P21" s="6" t="s">
        <v>27</v>
      </c>
      <c r="Q21" s="6" t="s">
        <v>52</v>
      </c>
      <c r="R21" s="4">
        <v>43994</v>
      </c>
      <c r="S21" s="6" t="s">
        <v>29</v>
      </c>
      <c r="T21" s="6" t="s">
        <v>65</v>
      </c>
    </row>
    <row r="22" spans="1:20" x14ac:dyDescent="0.35">
      <c r="A22" s="4">
        <v>43933</v>
      </c>
      <c r="B22" s="5">
        <f t="shared" si="0"/>
        <v>2020</v>
      </c>
      <c r="C22" s="5">
        <f t="shared" si="1"/>
        <v>4</v>
      </c>
      <c r="D22" s="5">
        <f t="shared" si="2"/>
        <v>12</v>
      </c>
      <c r="E22" s="5" t="str">
        <f t="shared" si="3"/>
        <v>April</v>
      </c>
      <c r="F22" s="6" t="s">
        <v>66</v>
      </c>
      <c r="G22" s="6" t="s">
        <v>67</v>
      </c>
      <c r="H22" s="6" t="s">
        <v>22</v>
      </c>
      <c r="I22" s="6" t="s">
        <v>23</v>
      </c>
      <c r="J22" s="6" t="s">
        <v>24</v>
      </c>
      <c r="K22" s="6" t="s">
        <v>25</v>
      </c>
      <c r="L22" s="6" t="s">
        <v>32</v>
      </c>
      <c r="M22" s="6">
        <v>3</v>
      </c>
      <c r="N22" s="7">
        <v>7480</v>
      </c>
      <c r="O22" s="7">
        <f t="shared" si="4"/>
        <v>22440</v>
      </c>
      <c r="P22" s="6" t="s">
        <v>27</v>
      </c>
      <c r="Q22" s="6" t="s">
        <v>52</v>
      </c>
      <c r="R22" s="4">
        <v>43994</v>
      </c>
      <c r="S22" s="6" t="s">
        <v>29</v>
      </c>
      <c r="T22" s="6" t="s">
        <v>65</v>
      </c>
    </row>
    <row r="23" spans="1:20" x14ac:dyDescent="0.35">
      <c r="A23" s="4">
        <v>43933</v>
      </c>
      <c r="B23" s="5">
        <f t="shared" si="0"/>
        <v>2020</v>
      </c>
      <c r="C23" s="5">
        <f t="shared" si="1"/>
        <v>4</v>
      </c>
      <c r="D23" s="5">
        <f t="shared" si="2"/>
        <v>12</v>
      </c>
      <c r="E23" s="5" t="str">
        <f t="shared" si="3"/>
        <v>April</v>
      </c>
      <c r="F23" s="6" t="s">
        <v>66</v>
      </c>
      <c r="G23" s="6" t="s">
        <v>67</v>
      </c>
      <c r="H23" s="6" t="s">
        <v>22</v>
      </c>
      <c r="I23" s="6" t="s">
        <v>23</v>
      </c>
      <c r="J23" s="6" t="s">
        <v>24</v>
      </c>
      <c r="K23" s="6" t="s">
        <v>25</v>
      </c>
      <c r="L23" s="6" t="s">
        <v>26</v>
      </c>
      <c r="M23" s="6">
        <v>3</v>
      </c>
      <c r="N23" s="7">
        <v>7480</v>
      </c>
      <c r="O23" s="7">
        <f t="shared" si="4"/>
        <v>22440</v>
      </c>
      <c r="P23" s="6" t="s">
        <v>27</v>
      </c>
      <c r="Q23" s="6" t="s">
        <v>52</v>
      </c>
      <c r="R23" s="4">
        <v>43994</v>
      </c>
      <c r="S23" s="6" t="s">
        <v>29</v>
      </c>
      <c r="T23" s="6" t="s">
        <v>65</v>
      </c>
    </row>
    <row r="24" spans="1:20" x14ac:dyDescent="0.35">
      <c r="A24" s="4">
        <v>43933</v>
      </c>
      <c r="B24" s="5">
        <f t="shared" si="0"/>
        <v>2020</v>
      </c>
      <c r="C24" s="5">
        <f t="shared" si="1"/>
        <v>4</v>
      </c>
      <c r="D24" s="5">
        <f t="shared" si="2"/>
        <v>12</v>
      </c>
      <c r="E24" s="5" t="str">
        <f t="shared" si="3"/>
        <v>April</v>
      </c>
      <c r="F24" s="6" t="s">
        <v>66</v>
      </c>
      <c r="G24" s="6" t="s">
        <v>67</v>
      </c>
      <c r="H24" s="6" t="s">
        <v>22</v>
      </c>
      <c r="I24" s="6" t="s">
        <v>23</v>
      </c>
      <c r="J24" s="6" t="s">
        <v>24</v>
      </c>
      <c r="K24" s="6" t="s">
        <v>25</v>
      </c>
      <c r="L24" s="6" t="s">
        <v>31</v>
      </c>
      <c r="M24" s="6">
        <v>2</v>
      </c>
      <c r="N24" s="7">
        <v>7480</v>
      </c>
      <c r="O24" s="7">
        <f t="shared" si="4"/>
        <v>14960</v>
      </c>
      <c r="P24" s="6" t="s">
        <v>27</v>
      </c>
      <c r="Q24" s="6" t="s">
        <v>52</v>
      </c>
      <c r="R24" s="4">
        <v>43994</v>
      </c>
      <c r="S24" s="6" t="s">
        <v>29</v>
      </c>
      <c r="T24" s="6" t="s">
        <v>65</v>
      </c>
    </row>
    <row r="25" spans="1:20" x14ac:dyDescent="0.35">
      <c r="A25" s="4">
        <v>43933</v>
      </c>
      <c r="B25" s="5">
        <f t="shared" si="0"/>
        <v>2020</v>
      </c>
      <c r="C25" s="5">
        <f t="shared" si="1"/>
        <v>4</v>
      </c>
      <c r="D25" s="5">
        <f t="shared" si="2"/>
        <v>12</v>
      </c>
      <c r="E25" s="5" t="str">
        <f t="shared" si="3"/>
        <v>April</v>
      </c>
      <c r="F25" s="6" t="s">
        <v>66</v>
      </c>
      <c r="G25" s="6" t="s">
        <v>67</v>
      </c>
      <c r="H25" s="6" t="s">
        <v>39</v>
      </c>
      <c r="I25" s="6" t="s">
        <v>40</v>
      </c>
      <c r="J25" s="6" t="s">
        <v>24</v>
      </c>
      <c r="K25" s="6" t="s">
        <v>41</v>
      </c>
      <c r="L25" s="6" t="s">
        <v>42</v>
      </c>
      <c r="M25" s="6">
        <v>1</v>
      </c>
      <c r="N25" s="7">
        <v>16800</v>
      </c>
      <c r="O25" s="7">
        <f t="shared" si="4"/>
        <v>16800</v>
      </c>
      <c r="P25" s="6" t="s">
        <v>27</v>
      </c>
      <c r="Q25" s="6" t="s">
        <v>52</v>
      </c>
      <c r="R25" s="4">
        <v>43994</v>
      </c>
      <c r="S25" s="6" t="s">
        <v>29</v>
      </c>
      <c r="T25" s="6" t="s">
        <v>65</v>
      </c>
    </row>
    <row r="26" spans="1:20" x14ac:dyDescent="0.35">
      <c r="A26" s="4">
        <v>43963</v>
      </c>
      <c r="B26" s="5">
        <f t="shared" si="0"/>
        <v>2020</v>
      </c>
      <c r="C26" s="5">
        <f t="shared" si="1"/>
        <v>5</v>
      </c>
      <c r="D26" s="5">
        <f t="shared" si="2"/>
        <v>12</v>
      </c>
      <c r="E26" s="5" t="str">
        <f t="shared" si="3"/>
        <v>May</v>
      </c>
      <c r="F26" s="6" t="s">
        <v>71</v>
      </c>
      <c r="G26" s="6" t="s">
        <v>72</v>
      </c>
      <c r="H26" s="6" t="s">
        <v>39</v>
      </c>
      <c r="I26" s="6" t="s">
        <v>40</v>
      </c>
      <c r="J26" s="6" t="s">
        <v>24</v>
      </c>
      <c r="K26" s="6" t="s">
        <v>41</v>
      </c>
      <c r="L26" s="6" t="s">
        <v>42</v>
      </c>
      <c r="M26" s="6">
        <v>1</v>
      </c>
      <c r="N26" s="7">
        <v>16800</v>
      </c>
      <c r="O26" s="7">
        <f t="shared" si="4"/>
        <v>16800</v>
      </c>
      <c r="P26" s="6" t="s">
        <v>27</v>
      </c>
      <c r="Q26" s="6" t="s">
        <v>73</v>
      </c>
      <c r="R26" s="4">
        <v>44055</v>
      </c>
      <c r="S26" s="6" t="s">
        <v>29</v>
      </c>
      <c r="T26" s="6" t="s">
        <v>65</v>
      </c>
    </row>
    <row r="27" spans="1:20" x14ac:dyDescent="0.35">
      <c r="A27" s="4">
        <v>43963</v>
      </c>
      <c r="B27" s="5">
        <f t="shared" si="0"/>
        <v>2020</v>
      </c>
      <c r="C27" s="5">
        <f t="shared" si="1"/>
        <v>5</v>
      </c>
      <c r="D27" s="5">
        <f t="shared" si="2"/>
        <v>12</v>
      </c>
      <c r="E27" s="5" t="str">
        <f t="shared" si="3"/>
        <v>May</v>
      </c>
      <c r="F27" s="6" t="s">
        <v>74</v>
      </c>
      <c r="G27" s="6" t="s">
        <v>72</v>
      </c>
      <c r="H27" s="6" t="s">
        <v>39</v>
      </c>
      <c r="I27" s="6" t="s">
        <v>40</v>
      </c>
      <c r="J27" s="6" t="s">
        <v>24</v>
      </c>
      <c r="K27" s="6" t="s">
        <v>41</v>
      </c>
      <c r="L27" s="6" t="s">
        <v>42</v>
      </c>
      <c r="M27" s="6">
        <v>1</v>
      </c>
      <c r="N27" s="7">
        <v>16800</v>
      </c>
      <c r="O27" s="7">
        <f t="shared" si="4"/>
        <v>16800</v>
      </c>
      <c r="P27" s="6" t="s">
        <v>27</v>
      </c>
      <c r="Q27" s="6" t="s">
        <v>73</v>
      </c>
      <c r="R27" s="4">
        <v>44055</v>
      </c>
      <c r="S27" s="6" t="s">
        <v>29</v>
      </c>
      <c r="T27" s="6" t="s">
        <v>65</v>
      </c>
    </row>
    <row r="28" spans="1:20" x14ac:dyDescent="0.35">
      <c r="A28" s="4">
        <v>44024</v>
      </c>
      <c r="B28" s="5">
        <f t="shared" si="0"/>
        <v>2020</v>
      </c>
      <c r="C28" s="5">
        <f t="shared" si="1"/>
        <v>7</v>
      </c>
      <c r="D28" s="5">
        <f t="shared" si="2"/>
        <v>12</v>
      </c>
      <c r="E28" s="5" t="str">
        <f t="shared" si="3"/>
        <v>July</v>
      </c>
      <c r="F28" s="6" t="s">
        <v>75</v>
      </c>
      <c r="G28" s="6" t="s">
        <v>76</v>
      </c>
      <c r="H28" s="6" t="s">
        <v>22</v>
      </c>
      <c r="I28" s="6" t="s">
        <v>69</v>
      </c>
      <c r="J28" s="6" t="s">
        <v>24</v>
      </c>
      <c r="K28" s="6" t="s">
        <v>25</v>
      </c>
      <c r="L28" s="6" t="s">
        <v>70</v>
      </c>
      <c r="M28" s="6">
        <v>1</v>
      </c>
      <c r="N28" s="7">
        <v>4700</v>
      </c>
      <c r="O28" s="7">
        <f t="shared" si="4"/>
        <v>4700</v>
      </c>
      <c r="P28" s="6" t="s">
        <v>27</v>
      </c>
      <c r="Q28" s="6" t="s">
        <v>77</v>
      </c>
      <c r="R28" s="4">
        <v>44055</v>
      </c>
      <c r="S28" s="6" t="s">
        <v>29</v>
      </c>
      <c r="T28" s="6" t="s">
        <v>65</v>
      </c>
    </row>
    <row r="29" spans="1:20" x14ac:dyDescent="0.35">
      <c r="A29" s="4">
        <v>44024</v>
      </c>
      <c r="B29" s="5">
        <f t="shared" si="0"/>
        <v>2020</v>
      </c>
      <c r="C29" s="5">
        <f t="shared" si="1"/>
        <v>7</v>
      </c>
      <c r="D29" s="5">
        <f t="shared" si="2"/>
        <v>12</v>
      </c>
      <c r="E29" s="5" t="str">
        <f t="shared" si="3"/>
        <v>July</v>
      </c>
      <c r="F29" s="6" t="s">
        <v>78</v>
      </c>
      <c r="G29" s="6" t="s">
        <v>79</v>
      </c>
      <c r="H29" s="6" t="s">
        <v>22</v>
      </c>
      <c r="I29" s="6" t="s">
        <v>69</v>
      </c>
      <c r="J29" s="6" t="s">
        <v>24</v>
      </c>
      <c r="K29" s="6" t="s">
        <v>25</v>
      </c>
      <c r="L29" s="6" t="s">
        <v>80</v>
      </c>
      <c r="M29" s="6">
        <v>1</v>
      </c>
      <c r="N29" s="7">
        <v>4700</v>
      </c>
      <c r="O29" s="7">
        <f t="shared" si="4"/>
        <v>4700</v>
      </c>
      <c r="P29" s="6" t="s">
        <v>27</v>
      </c>
      <c r="Q29" s="6" t="s">
        <v>81</v>
      </c>
      <c r="R29" s="4">
        <v>44055</v>
      </c>
      <c r="S29" s="6" t="s">
        <v>29</v>
      </c>
      <c r="T29" s="6" t="s">
        <v>36</v>
      </c>
    </row>
    <row r="30" spans="1:20" x14ac:dyDescent="0.35">
      <c r="A30" s="4">
        <v>44024</v>
      </c>
      <c r="B30" s="5">
        <f t="shared" si="0"/>
        <v>2020</v>
      </c>
      <c r="C30" s="5">
        <f t="shared" si="1"/>
        <v>7</v>
      </c>
      <c r="D30" s="5">
        <f t="shared" si="2"/>
        <v>12</v>
      </c>
      <c r="E30" s="5" t="str">
        <f t="shared" si="3"/>
        <v>July</v>
      </c>
      <c r="F30" s="6" t="s">
        <v>78</v>
      </c>
      <c r="G30" s="6" t="s">
        <v>79</v>
      </c>
      <c r="H30" s="6" t="s">
        <v>22</v>
      </c>
      <c r="I30" s="6" t="s">
        <v>69</v>
      </c>
      <c r="J30" s="6" t="s">
        <v>24</v>
      </c>
      <c r="K30" s="6" t="s">
        <v>25</v>
      </c>
      <c r="L30" s="6" t="s">
        <v>70</v>
      </c>
      <c r="M30" s="6">
        <v>1</v>
      </c>
      <c r="N30" s="7">
        <v>4700</v>
      </c>
      <c r="O30" s="7">
        <f t="shared" si="4"/>
        <v>4700</v>
      </c>
      <c r="P30" s="6" t="s">
        <v>27</v>
      </c>
      <c r="Q30" s="6" t="s">
        <v>81</v>
      </c>
      <c r="R30" s="4">
        <v>44055</v>
      </c>
      <c r="S30" s="6" t="s">
        <v>29</v>
      </c>
      <c r="T30" s="6" t="s">
        <v>36</v>
      </c>
    </row>
    <row r="31" spans="1:20" x14ac:dyDescent="0.35">
      <c r="A31" s="4">
        <v>44086</v>
      </c>
      <c r="B31" s="5">
        <f t="shared" si="0"/>
        <v>2020</v>
      </c>
      <c r="C31" s="5">
        <f t="shared" si="1"/>
        <v>9</v>
      </c>
      <c r="D31" s="5">
        <f t="shared" si="2"/>
        <v>12</v>
      </c>
      <c r="E31" s="5" t="str">
        <f t="shared" si="3"/>
        <v>September</v>
      </c>
      <c r="F31" s="6" t="s">
        <v>82</v>
      </c>
      <c r="G31" s="6" t="s">
        <v>83</v>
      </c>
      <c r="H31" s="6" t="s">
        <v>39</v>
      </c>
      <c r="I31" s="6" t="s">
        <v>40</v>
      </c>
      <c r="J31" s="6" t="s">
        <v>24</v>
      </c>
      <c r="K31" s="6" t="s">
        <v>41</v>
      </c>
      <c r="L31" s="6" t="s">
        <v>42</v>
      </c>
      <c r="M31" s="6">
        <v>2</v>
      </c>
      <c r="N31" s="7">
        <v>16800</v>
      </c>
      <c r="O31" s="7">
        <f t="shared" si="4"/>
        <v>33600</v>
      </c>
      <c r="P31" s="6" t="s">
        <v>27</v>
      </c>
      <c r="Q31" s="6" t="s">
        <v>84</v>
      </c>
      <c r="R31" s="4">
        <v>44116</v>
      </c>
      <c r="S31" s="6" t="s">
        <v>85</v>
      </c>
      <c r="T31" s="6" t="s">
        <v>36</v>
      </c>
    </row>
    <row r="32" spans="1:20" x14ac:dyDescent="0.35">
      <c r="A32" s="4">
        <v>44086</v>
      </c>
      <c r="B32" s="5">
        <f t="shared" si="0"/>
        <v>2020</v>
      </c>
      <c r="C32" s="5">
        <f t="shared" si="1"/>
        <v>9</v>
      </c>
      <c r="D32" s="5">
        <f t="shared" si="2"/>
        <v>12</v>
      </c>
      <c r="E32" s="5" t="str">
        <f t="shared" si="3"/>
        <v>September</v>
      </c>
      <c r="F32" s="6" t="s">
        <v>86</v>
      </c>
      <c r="G32" s="6" t="s">
        <v>79</v>
      </c>
      <c r="H32" s="6" t="s">
        <v>22</v>
      </c>
      <c r="I32" s="6" t="s">
        <v>69</v>
      </c>
      <c r="J32" s="6" t="s">
        <v>24</v>
      </c>
      <c r="K32" s="6" t="s">
        <v>25</v>
      </c>
      <c r="L32" s="6" t="s">
        <v>80</v>
      </c>
      <c r="M32" s="6">
        <v>1</v>
      </c>
      <c r="N32" s="7">
        <v>4700</v>
      </c>
      <c r="O32" s="7">
        <f t="shared" si="4"/>
        <v>4700</v>
      </c>
      <c r="P32" s="6" t="s">
        <v>27</v>
      </c>
      <c r="Q32" s="6" t="s">
        <v>87</v>
      </c>
      <c r="R32" s="4">
        <v>44116</v>
      </c>
      <c r="S32" s="6" t="s">
        <v>29</v>
      </c>
      <c r="T32" s="6" t="s">
        <v>36</v>
      </c>
    </row>
    <row r="33" spans="1:20" x14ac:dyDescent="0.35">
      <c r="A33" s="4">
        <v>44116</v>
      </c>
      <c r="B33" s="5">
        <f t="shared" si="0"/>
        <v>2020</v>
      </c>
      <c r="C33" s="5">
        <f t="shared" si="1"/>
        <v>10</v>
      </c>
      <c r="D33" s="5">
        <f t="shared" si="2"/>
        <v>12</v>
      </c>
      <c r="E33" s="5" t="str">
        <f t="shared" si="3"/>
        <v>October</v>
      </c>
      <c r="F33" s="6" t="s">
        <v>88</v>
      </c>
      <c r="G33" s="6" t="s">
        <v>89</v>
      </c>
      <c r="H33" s="6" t="s">
        <v>22</v>
      </c>
      <c r="I33" s="6" t="s">
        <v>49</v>
      </c>
      <c r="J33" s="6" t="s">
        <v>24</v>
      </c>
      <c r="K33" s="6" t="s">
        <v>25</v>
      </c>
      <c r="L33" s="6" t="s">
        <v>50</v>
      </c>
      <c r="M33" s="6">
        <v>1</v>
      </c>
      <c r="N33" s="7">
        <v>13100</v>
      </c>
      <c r="O33" s="7">
        <f t="shared" si="4"/>
        <v>13100</v>
      </c>
      <c r="P33" s="6" t="s">
        <v>27</v>
      </c>
      <c r="Q33" s="6" t="s">
        <v>90</v>
      </c>
      <c r="R33" s="4">
        <v>44147</v>
      </c>
      <c r="S33" s="6" t="s">
        <v>29</v>
      </c>
      <c r="T33" s="6" t="s">
        <v>36</v>
      </c>
    </row>
    <row r="34" spans="1:20" x14ac:dyDescent="0.35">
      <c r="A34" s="4">
        <v>44116</v>
      </c>
      <c r="B34" s="5">
        <f t="shared" si="0"/>
        <v>2020</v>
      </c>
      <c r="C34" s="5">
        <f t="shared" si="1"/>
        <v>10</v>
      </c>
      <c r="D34" s="5">
        <f t="shared" si="2"/>
        <v>12</v>
      </c>
      <c r="E34" s="5" t="str">
        <f t="shared" si="3"/>
        <v>October</v>
      </c>
      <c r="F34" s="6" t="s">
        <v>88</v>
      </c>
      <c r="G34" s="6" t="s">
        <v>89</v>
      </c>
      <c r="H34" s="6" t="s">
        <v>22</v>
      </c>
      <c r="I34" s="6" t="s">
        <v>49</v>
      </c>
      <c r="J34" s="6" t="s">
        <v>24</v>
      </c>
      <c r="K34" s="6" t="s">
        <v>25</v>
      </c>
      <c r="L34" s="6" t="s">
        <v>91</v>
      </c>
      <c r="M34" s="6">
        <v>1</v>
      </c>
      <c r="N34" s="7">
        <v>13100</v>
      </c>
      <c r="O34" s="7">
        <f t="shared" si="4"/>
        <v>13100</v>
      </c>
      <c r="P34" s="6" t="s">
        <v>27</v>
      </c>
      <c r="Q34" s="6" t="s">
        <v>90</v>
      </c>
      <c r="R34" s="4">
        <v>44147</v>
      </c>
      <c r="S34" s="6" t="s">
        <v>29</v>
      </c>
      <c r="T34" s="6" t="s">
        <v>36</v>
      </c>
    </row>
    <row r="35" spans="1:20" x14ac:dyDescent="0.35">
      <c r="A35" s="4">
        <v>44116</v>
      </c>
      <c r="B35" s="5">
        <f t="shared" si="0"/>
        <v>2020</v>
      </c>
      <c r="C35" s="5">
        <f t="shared" si="1"/>
        <v>10</v>
      </c>
      <c r="D35" s="5">
        <f t="shared" si="2"/>
        <v>12</v>
      </c>
      <c r="E35" s="5" t="str">
        <f t="shared" si="3"/>
        <v>October</v>
      </c>
      <c r="F35" s="6" t="s">
        <v>88</v>
      </c>
      <c r="G35" s="6" t="s">
        <v>89</v>
      </c>
      <c r="H35" s="6" t="s">
        <v>22</v>
      </c>
      <c r="I35" s="6" t="s">
        <v>23</v>
      </c>
      <c r="J35" s="6" t="s">
        <v>24</v>
      </c>
      <c r="K35" s="6" t="s">
        <v>25</v>
      </c>
      <c r="L35" s="6" t="s">
        <v>32</v>
      </c>
      <c r="M35" s="6">
        <v>1</v>
      </c>
      <c r="N35" s="7">
        <v>7480</v>
      </c>
      <c r="O35" s="7">
        <f t="shared" si="4"/>
        <v>7480</v>
      </c>
      <c r="P35" s="6" t="s">
        <v>27</v>
      </c>
      <c r="Q35" s="6" t="s">
        <v>90</v>
      </c>
      <c r="R35" s="4">
        <v>44147</v>
      </c>
      <c r="S35" s="6" t="s">
        <v>29</v>
      </c>
      <c r="T35" s="6" t="s">
        <v>36</v>
      </c>
    </row>
    <row r="36" spans="1:20" x14ac:dyDescent="0.35">
      <c r="A36" s="4">
        <v>44116</v>
      </c>
      <c r="B36" s="5">
        <f t="shared" si="0"/>
        <v>2020</v>
      </c>
      <c r="C36" s="5">
        <f t="shared" si="1"/>
        <v>10</v>
      </c>
      <c r="D36" s="5">
        <f t="shared" si="2"/>
        <v>12</v>
      </c>
      <c r="E36" s="5" t="str">
        <f t="shared" si="3"/>
        <v>October</v>
      </c>
      <c r="F36" s="6" t="s">
        <v>88</v>
      </c>
      <c r="G36" s="6" t="s">
        <v>89</v>
      </c>
      <c r="H36" s="6" t="s">
        <v>39</v>
      </c>
      <c r="I36" s="6" t="s">
        <v>40</v>
      </c>
      <c r="J36" s="6" t="s">
        <v>24</v>
      </c>
      <c r="K36" s="6" t="s">
        <v>41</v>
      </c>
      <c r="L36" s="6" t="s">
        <v>42</v>
      </c>
      <c r="M36" s="6">
        <v>1</v>
      </c>
      <c r="N36" s="7">
        <v>16800</v>
      </c>
      <c r="O36" s="7">
        <f t="shared" si="4"/>
        <v>16800</v>
      </c>
      <c r="P36" s="6" t="s">
        <v>27</v>
      </c>
      <c r="Q36" s="6" t="s">
        <v>90</v>
      </c>
      <c r="R36" s="4">
        <v>44147</v>
      </c>
      <c r="S36" s="6" t="s">
        <v>29</v>
      </c>
      <c r="T36" s="6" t="s">
        <v>36</v>
      </c>
    </row>
    <row r="37" spans="1:20" x14ac:dyDescent="0.35">
      <c r="A37" s="4">
        <v>44116</v>
      </c>
      <c r="B37" s="5">
        <f t="shared" si="0"/>
        <v>2020</v>
      </c>
      <c r="C37" s="5">
        <f t="shared" si="1"/>
        <v>10</v>
      </c>
      <c r="D37" s="5">
        <f t="shared" si="2"/>
        <v>12</v>
      </c>
      <c r="E37" s="5" t="str">
        <f t="shared" si="3"/>
        <v>October</v>
      </c>
      <c r="F37" s="6" t="s">
        <v>92</v>
      </c>
      <c r="G37" s="6" t="s">
        <v>93</v>
      </c>
      <c r="H37" s="6" t="s">
        <v>39</v>
      </c>
      <c r="I37" s="6" t="s">
        <v>40</v>
      </c>
      <c r="J37" s="6" t="s">
        <v>24</v>
      </c>
      <c r="K37" s="6" t="s">
        <v>41</v>
      </c>
      <c r="L37" s="6" t="s">
        <v>42</v>
      </c>
      <c r="M37" s="6">
        <v>2</v>
      </c>
      <c r="N37" s="7">
        <v>16800</v>
      </c>
      <c r="O37" s="7">
        <f t="shared" si="4"/>
        <v>33600</v>
      </c>
      <c r="P37" s="6" t="s">
        <v>27</v>
      </c>
      <c r="Q37" s="6" t="s">
        <v>94</v>
      </c>
      <c r="R37" s="4">
        <v>44147</v>
      </c>
      <c r="S37" s="6" t="s">
        <v>29</v>
      </c>
      <c r="T37" s="6" t="s">
        <v>30</v>
      </c>
    </row>
    <row r="38" spans="1:20" x14ac:dyDescent="0.35">
      <c r="A38" s="4">
        <v>44147</v>
      </c>
      <c r="B38" s="5">
        <f t="shared" si="0"/>
        <v>2020</v>
      </c>
      <c r="C38" s="5">
        <f t="shared" si="1"/>
        <v>11</v>
      </c>
      <c r="D38" s="5">
        <f t="shared" si="2"/>
        <v>12</v>
      </c>
      <c r="E38" s="5" t="str">
        <f t="shared" si="3"/>
        <v>November</v>
      </c>
      <c r="F38" s="6" t="s">
        <v>95</v>
      </c>
      <c r="G38" s="6" t="s">
        <v>96</v>
      </c>
      <c r="H38" s="6" t="s">
        <v>39</v>
      </c>
      <c r="I38" s="6" t="s">
        <v>40</v>
      </c>
      <c r="J38" s="6" t="s">
        <v>24</v>
      </c>
      <c r="K38" s="6" t="s">
        <v>41</v>
      </c>
      <c r="L38" s="6" t="s">
        <v>42</v>
      </c>
      <c r="M38" s="6">
        <v>1</v>
      </c>
      <c r="N38" s="7">
        <v>16800</v>
      </c>
      <c r="O38" s="7">
        <f t="shared" si="4"/>
        <v>16800</v>
      </c>
      <c r="P38" s="6" t="s">
        <v>27</v>
      </c>
      <c r="Q38" s="6" t="s">
        <v>97</v>
      </c>
      <c r="R38" s="4">
        <v>44177</v>
      </c>
      <c r="S38" s="6" t="s">
        <v>85</v>
      </c>
      <c r="T38" s="6" t="s">
        <v>36</v>
      </c>
    </row>
    <row r="39" spans="1:20" x14ac:dyDescent="0.35">
      <c r="A39" s="4">
        <v>44147</v>
      </c>
      <c r="B39" s="5">
        <f t="shared" si="0"/>
        <v>2020</v>
      </c>
      <c r="C39" s="5">
        <f t="shared" si="1"/>
        <v>11</v>
      </c>
      <c r="D39" s="5">
        <f t="shared" si="2"/>
        <v>12</v>
      </c>
      <c r="E39" s="5" t="str">
        <f t="shared" si="3"/>
        <v>November</v>
      </c>
      <c r="F39" s="6" t="s">
        <v>98</v>
      </c>
      <c r="G39" s="6" t="s">
        <v>99</v>
      </c>
      <c r="H39" s="6" t="s">
        <v>44</v>
      </c>
      <c r="I39" s="6" t="s">
        <v>100</v>
      </c>
      <c r="J39" s="6" t="s">
        <v>24</v>
      </c>
      <c r="K39" s="6" t="s">
        <v>41</v>
      </c>
      <c r="L39" s="6" t="s">
        <v>101</v>
      </c>
      <c r="M39" s="6">
        <v>0.5</v>
      </c>
      <c r="N39" s="7">
        <v>35000</v>
      </c>
      <c r="O39" s="7">
        <f t="shared" si="4"/>
        <v>17500</v>
      </c>
      <c r="P39" s="6" t="s">
        <v>27</v>
      </c>
      <c r="Q39" s="6" t="s">
        <v>102</v>
      </c>
      <c r="R39" s="4">
        <v>44177</v>
      </c>
      <c r="S39" s="6" t="s">
        <v>29</v>
      </c>
      <c r="T39" s="6" t="s">
        <v>36</v>
      </c>
    </row>
    <row r="40" spans="1:20" x14ac:dyDescent="0.35">
      <c r="A40" s="4">
        <v>43873</v>
      </c>
      <c r="B40" s="5">
        <f t="shared" si="0"/>
        <v>2020</v>
      </c>
      <c r="C40" s="5">
        <f t="shared" si="1"/>
        <v>2</v>
      </c>
      <c r="D40" s="5">
        <f t="shared" si="2"/>
        <v>12</v>
      </c>
      <c r="E40" s="5" t="str">
        <f t="shared" si="3"/>
        <v>February</v>
      </c>
      <c r="F40" s="6" t="s">
        <v>103</v>
      </c>
      <c r="G40" s="6" t="s">
        <v>104</v>
      </c>
      <c r="H40" s="6" t="s">
        <v>105</v>
      </c>
      <c r="I40" s="6" t="s">
        <v>106</v>
      </c>
      <c r="J40" s="6" t="s">
        <v>107</v>
      </c>
      <c r="K40" s="6" t="s">
        <v>108</v>
      </c>
      <c r="L40" s="6" t="s">
        <v>109</v>
      </c>
      <c r="M40" s="6">
        <v>1</v>
      </c>
      <c r="N40" s="7">
        <v>5200</v>
      </c>
      <c r="O40" s="7">
        <f t="shared" si="4"/>
        <v>5200</v>
      </c>
      <c r="P40" s="6" t="s">
        <v>27</v>
      </c>
      <c r="Q40" s="6" t="s">
        <v>110</v>
      </c>
      <c r="R40" s="4">
        <v>43902</v>
      </c>
      <c r="S40" s="6" t="s">
        <v>85</v>
      </c>
      <c r="T40" s="6" t="s">
        <v>65</v>
      </c>
    </row>
    <row r="41" spans="1:20" x14ac:dyDescent="0.35">
      <c r="A41" s="4">
        <v>43873</v>
      </c>
      <c r="B41" s="5">
        <f t="shared" si="0"/>
        <v>2020</v>
      </c>
      <c r="C41" s="5">
        <f t="shared" si="1"/>
        <v>2</v>
      </c>
      <c r="D41" s="5">
        <f t="shared" si="2"/>
        <v>12</v>
      </c>
      <c r="E41" s="5" t="str">
        <f t="shared" si="3"/>
        <v>February</v>
      </c>
      <c r="F41" s="6" t="s">
        <v>103</v>
      </c>
      <c r="G41" s="6" t="s">
        <v>104</v>
      </c>
      <c r="H41" s="6" t="s">
        <v>105</v>
      </c>
      <c r="I41" s="6" t="s">
        <v>106</v>
      </c>
      <c r="J41" s="6" t="s">
        <v>107</v>
      </c>
      <c r="K41" s="6" t="s">
        <v>108</v>
      </c>
      <c r="L41" s="6" t="s">
        <v>111</v>
      </c>
      <c r="M41" s="6">
        <v>1</v>
      </c>
      <c r="N41" s="7">
        <v>5200</v>
      </c>
      <c r="O41" s="7">
        <f t="shared" si="4"/>
        <v>5200</v>
      </c>
      <c r="P41" s="6" t="s">
        <v>27</v>
      </c>
      <c r="Q41" s="6" t="s">
        <v>110</v>
      </c>
      <c r="R41" s="4">
        <v>43902</v>
      </c>
      <c r="S41" s="6" t="s">
        <v>85</v>
      </c>
      <c r="T41" s="6" t="s">
        <v>65</v>
      </c>
    </row>
    <row r="42" spans="1:20" x14ac:dyDescent="0.35">
      <c r="A42" s="4">
        <v>43873</v>
      </c>
      <c r="B42" s="5">
        <f t="shared" si="0"/>
        <v>2020</v>
      </c>
      <c r="C42" s="5">
        <f t="shared" si="1"/>
        <v>2</v>
      </c>
      <c r="D42" s="5">
        <f t="shared" si="2"/>
        <v>12</v>
      </c>
      <c r="E42" s="5" t="str">
        <f t="shared" si="3"/>
        <v>February</v>
      </c>
      <c r="F42" s="6" t="s">
        <v>103</v>
      </c>
      <c r="G42" s="6" t="s">
        <v>104</v>
      </c>
      <c r="H42" s="6" t="s">
        <v>105</v>
      </c>
      <c r="I42" s="6" t="s">
        <v>106</v>
      </c>
      <c r="J42" s="6" t="s">
        <v>107</v>
      </c>
      <c r="K42" s="6" t="s">
        <v>108</v>
      </c>
      <c r="L42" s="6" t="s">
        <v>112</v>
      </c>
      <c r="M42" s="6">
        <v>1</v>
      </c>
      <c r="N42" s="7">
        <v>4200</v>
      </c>
      <c r="O42" s="7">
        <f t="shared" si="4"/>
        <v>4200</v>
      </c>
      <c r="P42" s="6" t="s">
        <v>27</v>
      </c>
      <c r="Q42" s="6" t="s">
        <v>110</v>
      </c>
      <c r="R42" s="4">
        <v>43902</v>
      </c>
      <c r="S42" s="6" t="s">
        <v>85</v>
      </c>
      <c r="T42" s="6" t="s">
        <v>65</v>
      </c>
    </row>
    <row r="43" spans="1:20" x14ac:dyDescent="0.35">
      <c r="A43" s="4">
        <v>43873</v>
      </c>
      <c r="B43" s="5">
        <f t="shared" si="0"/>
        <v>2020</v>
      </c>
      <c r="C43" s="5">
        <f t="shared" si="1"/>
        <v>2</v>
      </c>
      <c r="D43" s="5">
        <f t="shared" si="2"/>
        <v>12</v>
      </c>
      <c r="E43" s="5" t="str">
        <f t="shared" si="3"/>
        <v>February</v>
      </c>
      <c r="F43" s="6" t="s">
        <v>47</v>
      </c>
      <c r="G43" s="6" t="s">
        <v>511</v>
      </c>
      <c r="H43" s="6" t="s">
        <v>113</v>
      </c>
      <c r="I43" s="6" t="s">
        <v>114</v>
      </c>
      <c r="J43" s="6" t="s">
        <v>107</v>
      </c>
      <c r="K43" s="6" t="s">
        <v>108</v>
      </c>
      <c r="L43" s="6" t="s">
        <v>115</v>
      </c>
      <c r="M43" s="6">
        <v>1</v>
      </c>
      <c r="N43" s="7">
        <v>5700</v>
      </c>
      <c r="O43" s="7">
        <f t="shared" si="4"/>
        <v>5700</v>
      </c>
      <c r="P43" s="6" t="s">
        <v>27</v>
      </c>
      <c r="Q43" s="6" t="s">
        <v>35</v>
      </c>
      <c r="R43" s="4">
        <v>43902</v>
      </c>
      <c r="S43" s="6" t="s">
        <v>29</v>
      </c>
      <c r="T43" s="6" t="s">
        <v>36</v>
      </c>
    </row>
    <row r="44" spans="1:20" x14ac:dyDescent="0.35">
      <c r="A44" s="4">
        <v>43873</v>
      </c>
      <c r="B44" s="5">
        <f t="shared" si="0"/>
        <v>2020</v>
      </c>
      <c r="C44" s="5">
        <f t="shared" si="1"/>
        <v>2</v>
      </c>
      <c r="D44" s="5">
        <f t="shared" si="2"/>
        <v>12</v>
      </c>
      <c r="E44" s="5" t="str">
        <f t="shared" si="3"/>
        <v>February</v>
      </c>
      <c r="F44" s="6" t="s">
        <v>116</v>
      </c>
      <c r="G44" s="6" t="s">
        <v>117</v>
      </c>
      <c r="H44" s="6" t="s">
        <v>113</v>
      </c>
      <c r="I44" s="6" t="s">
        <v>114</v>
      </c>
      <c r="J44" s="6" t="s">
        <v>107</v>
      </c>
      <c r="K44" s="6" t="s">
        <v>108</v>
      </c>
      <c r="L44" s="6" t="s">
        <v>115</v>
      </c>
      <c r="M44" s="6">
        <v>1</v>
      </c>
      <c r="N44" s="7">
        <v>5700</v>
      </c>
      <c r="O44" s="7">
        <f t="shared" si="4"/>
        <v>5700</v>
      </c>
      <c r="P44" s="6" t="s">
        <v>27</v>
      </c>
      <c r="Q44" s="6" t="s">
        <v>118</v>
      </c>
      <c r="R44" s="4">
        <v>43933</v>
      </c>
      <c r="S44" s="6" t="s">
        <v>29</v>
      </c>
      <c r="T44" s="6" t="s">
        <v>30</v>
      </c>
    </row>
    <row r="45" spans="1:20" x14ac:dyDescent="0.35">
      <c r="A45" s="4">
        <v>43873</v>
      </c>
      <c r="B45" s="5">
        <f t="shared" si="0"/>
        <v>2020</v>
      </c>
      <c r="C45" s="5">
        <f t="shared" si="1"/>
        <v>2</v>
      </c>
      <c r="D45" s="5">
        <f t="shared" si="2"/>
        <v>12</v>
      </c>
      <c r="E45" s="5" t="str">
        <f t="shared" si="3"/>
        <v>February</v>
      </c>
      <c r="F45" s="6" t="s">
        <v>116</v>
      </c>
      <c r="G45" s="6" t="s">
        <v>117</v>
      </c>
      <c r="H45" s="6" t="s">
        <v>105</v>
      </c>
      <c r="I45" s="6" t="s">
        <v>106</v>
      </c>
      <c r="J45" s="6" t="s">
        <v>107</v>
      </c>
      <c r="K45" s="6" t="s">
        <v>108</v>
      </c>
      <c r="L45" s="6" t="s">
        <v>112</v>
      </c>
      <c r="M45" s="6">
        <v>1</v>
      </c>
      <c r="N45" s="7">
        <v>4200</v>
      </c>
      <c r="O45" s="7">
        <f t="shared" si="4"/>
        <v>4200</v>
      </c>
      <c r="P45" s="6" t="s">
        <v>27</v>
      </c>
      <c r="Q45" s="6" t="s">
        <v>118</v>
      </c>
      <c r="R45" s="4">
        <v>43933</v>
      </c>
      <c r="S45" s="6" t="s">
        <v>29</v>
      </c>
      <c r="T45" s="6" t="s">
        <v>30</v>
      </c>
    </row>
    <row r="46" spans="1:20" x14ac:dyDescent="0.35">
      <c r="A46" s="4">
        <v>43933</v>
      </c>
      <c r="B46" s="5">
        <f t="shared" si="0"/>
        <v>2020</v>
      </c>
      <c r="C46" s="5">
        <f t="shared" si="1"/>
        <v>4</v>
      </c>
      <c r="D46" s="5">
        <f t="shared" si="2"/>
        <v>12</v>
      </c>
      <c r="E46" s="5" t="str">
        <f t="shared" si="3"/>
        <v>April</v>
      </c>
      <c r="F46" s="6" t="s">
        <v>119</v>
      </c>
      <c r="G46" s="6" t="s">
        <v>120</v>
      </c>
      <c r="H46" s="6" t="s">
        <v>105</v>
      </c>
      <c r="I46" s="6" t="s">
        <v>106</v>
      </c>
      <c r="J46" s="6" t="s">
        <v>107</v>
      </c>
      <c r="K46" s="6" t="s">
        <v>108</v>
      </c>
      <c r="L46" s="6" t="s">
        <v>112</v>
      </c>
      <c r="M46" s="6">
        <v>1</v>
      </c>
      <c r="N46" s="7">
        <v>4200</v>
      </c>
      <c r="O46" s="7">
        <f t="shared" si="4"/>
        <v>4200</v>
      </c>
      <c r="P46" s="6" t="s">
        <v>27</v>
      </c>
      <c r="Q46" s="6" t="s">
        <v>64</v>
      </c>
      <c r="R46" s="4">
        <v>43963</v>
      </c>
      <c r="S46" s="6" t="s">
        <v>29</v>
      </c>
      <c r="T46" s="6" t="s">
        <v>36</v>
      </c>
    </row>
    <row r="47" spans="1:20" x14ac:dyDescent="0.35">
      <c r="A47" s="4">
        <v>43933</v>
      </c>
      <c r="B47" s="5">
        <f t="shared" si="0"/>
        <v>2020</v>
      </c>
      <c r="C47" s="5">
        <f t="shared" si="1"/>
        <v>4</v>
      </c>
      <c r="D47" s="5">
        <f t="shared" si="2"/>
        <v>12</v>
      </c>
      <c r="E47" s="5" t="str">
        <f t="shared" si="3"/>
        <v>April</v>
      </c>
      <c r="F47" s="6" t="s">
        <v>121</v>
      </c>
      <c r="G47" s="6" t="s">
        <v>122</v>
      </c>
      <c r="H47" s="6" t="s">
        <v>105</v>
      </c>
      <c r="I47" s="6" t="s">
        <v>106</v>
      </c>
      <c r="J47" s="6" t="s">
        <v>107</v>
      </c>
      <c r="K47" s="6" t="s">
        <v>108</v>
      </c>
      <c r="L47" s="6" t="s">
        <v>112</v>
      </c>
      <c r="M47" s="6">
        <v>2</v>
      </c>
      <c r="N47" s="7">
        <v>4200</v>
      </c>
      <c r="O47" s="7">
        <f t="shared" si="4"/>
        <v>8400</v>
      </c>
      <c r="P47" s="6" t="s">
        <v>27</v>
      </c>
      <c r="Q47" s="6" t="s">
        <v>123</v>
      </c>
      <c r="R47" s="4">
        <v>43963</v>
      </c>
      <c r="S47" s="6" t="s">
        <v>29</v>
      </c>
      <c r="T47" s="6" t="s">
        <v>30</v>
      </c>
    </row>
    <row r="48" spans="1:20" x14ac:dyDescent="0.35">
      <c r="A48" s="4">
        <v>43933</v>
      </c>
      <c r="B48" s="5">
        <f t="shared" si="0"/>
        <v>2020</v>
      </c>
      <c r="C48" s="5">
        <f t="shared" si="1"/>
        <v>4</v>
      </c>
      <c r="D48" s="5">
        <f t="shared" si="2"/>
        <v>12</v>
      </c>
      <c r="E48" s="5" t="str">
        <f t="shared" si="3"/>
        <v>April</v>
      </c>
      <c r="F48" s="6" t="s">
        <v>124</v>
      </c>
      <c r="G48" s="6" t="s">
        <v>125</v>
      </c>
      <c r="H48" s="6" t="s">
        <v>105</v>
      </c>
      <c r="I48" s="6" t="s">
        <v>106</v>
      </c>
      <c r="J48" s="6" t="s">
        <v>107</v>
      </c>
      <c r="K48" s="6" t="s">
        <v>108</v>
      </c>
      <c r="L48" s="6" t="s">
        <v>112</v>
      </c>
      <c r="M48" s="6">
        <v>1</v>
      </c>
      <c r="N48" s="7">
        <v>4200</v>
      </c>
      <c r="O48" s="7">
        <f t="shared" si="4"/>
        <v>4200</v>
      </c>
      <c r="P48" s="6" t="s">
        <v>27</v>
      </c>
      <c r="Q48" s="6" t="s">
        <v>126</v>
      </c>
      <c r="R48" s="4">
        <v>43963</v>
      </c>
      <c r="S48" s="6" t="s">
        <v>85</v>
      </c>
      <c r="T48" s="6" t="s">
        <v>36</v>
      </c>
    </row>
    <row r="49" spans="1:20" x14ac:dyDescent="0.35">
      <c r="A49" s="4">
        <v>43933</v>
      </c>
      <c r="B49" s="5">
        <f t="shared" si="0"/>
        <v>2020</v>
      </c>
      <c r="C49" s="5">
        <f t="shared" si="1"/>
        <v>4</v>
      </c>
      <c r="D49" s="5">
        <f t="shared" si="2"/>
        <v>12</v>
      </c>
      <c r="E49" s="5" t="str">
        <f t="shared" si="3"/>
        <v>April</v>
      </c>
      <c r="F49" s="6" t="s">
        <v>66</v>
      </c>
      <c r="G49" s="6" t="s">
        <v>67</v>
      </c>
      <c r="H49" s="6" t="s">
        <v>105</v>
      </c>
      <c r="I49" s="6" t="s">
        <v>106</v>
      </c>
      <c r="J49" s="6" t="s">
        <v>107</v>
      </c>
      <c r="K49" s="6" t="s">
        <v>108</v>
      </c>
      <c r="L49" s="6" t="s">
        <v>127</v>
      </c>
      <c r="M49" s="6">
        <v>1</v>
      </c>
      <c r="N49" s="7">
        <v>5200</v>
      </c>
      <c r="O49" s="7">
        <f t="shared" si="4"/>
        <v>5200</v>
      </c>
      <c r="P49" s="6" t="s">
        <v>27</v>
      </c>
      <c r="Q49" s="6" t="s">
        <v>52</v>
      </c>
      <c r="R49" s="4">
        <v>43994</v>
      </c>
      <c r="S49" s="6" t="s">
        <v>29</v>
      </c>
      <c r="T49" s="6" t="s">
        <v>36</v>
      </c>
    </row>
    <row r="50" spans="1:20" x14ac:dyDescent="0.35">
      <c r="A50" s="4">
        <v>43933</v>
      </c>
      <c r="B50" s="5">
        <f t="shared" si="0"/>
        <v>2020</v>
      </c>
      <c r="C50" s="5">
        <f t="shared" si="1"/>
        <v>4</v>
      </c>
      <c r="D50" s="5">
        <f t="shared" si="2"/>
        <v>12</v>
      </c>
      <c r="E50" s="5" t="str">
        <f t="shared" si="3"/>
        <v>April</v>
      </c>
      <c r="F50" s="6" t="s">
        <v>66</v>
      </c>
      <c r="G50" s="6" t="s">
        <v>67</v>
      </c>
      <c r="H50" s="6" t="s">
        <v>105</v>
      </c>
      <c r="I50" s="6" t="s">
        <v>106</v>
      </c>
      <c r="J50" s="6" t="s">
        <v>107</v>
      </c>
      <c r="K50" s="6" t="s">
        <v>108</v>
      </c>
      <c r="L50" s="6" t="s">
        <v>109</v>
      </c>
      <c r="M50" s="6">
        <v>2</v>
      </c>
      <c r="N50" s="7">
        <v>5200</v>
      </c>
      <c r="O50" s="7">
        <f t="shared" si="4"/>
        <v>10400</v>
      </c>
      <c r="P50" s="6" t="s">
        <v>27</v>
      </c>
      <c r="Q50" s="6" t="s">
        <v>52</v>
      </c>
      <c r="R50" s="4">
        <v>43994</v>
      </c>
      <c r="S50" s="6" t="s">
        <v>29</v>
      </c>
      <c r="T50" s="6" t="s">
        <v>36</v>
      </c>
    </row>
    <row r="51" spans="1:20" x14ac:dyDescent="0.35">
      <c r="A51" s="4">
        <v>43933</v>
      </c>
      <c r="B51" s="5">
        <f t="shared" si="0"/>
        <v>2020</v>
      </c>
      <c r="C51" s="5">
        <f t="shared" si="1"/>
        <v>4</v>
      </c>
      <c r="D51" s="5">
        <f t="shared" si="2"/>
        <v>12</v>
      </c>
      <c r="E51" s="5" t="str">
        <f t="shared" si="3"/>
        <v>April</v>
      </c>
      <c r="F51" s="6" t="s">
        <v>66</v>
      </c>
      <c r="G51" s="6" t="s">
        <v>67</v>
      </c>
      <c r="H51" s="6" t="s">
        <v>128</v>
      </c>
      <c r="I51" s="6" t="s">
        <v>129</v>
      </c>
      <c r="J51" s="6" t="s">
        <v>107</v>
      </c>
      <c r="K51" s="6" t="s">
        <v>130</v>
      </c>
      <c r="L51" s="6" t="s">
        <v>131</v>
      </c>
      <c r="M51" s="6">
        <v>2</v>
      </c>
      <c r="N51" s="7">
        <v>12300</v>
      </c>
      <c r="O51" s="7">
        <f t="shared" si="4"/>
        <v>24600</v>
      </c>
      <c r="P51" s="6" t="s">
        <v>27</v>
      </c>
      <c r="Q51" s="6" t="s">
        <v>52</v>
      </c>
      <c r="R51" s="4">
        <v>43994</v>
      </c>
      <c r="S51" s="6" t="s">
        <v>29</v>
      </c>
      <c r="T51" s="6" t="s">
        <v>36</v>
      </c>
    </row>
    <row r="52" spans="1:20" x14ac:dyDescent="0.35">
      <c r="A52" s="4">
        <v>43994</v>
      </c>
      <c r="B52" s="5">
        <f t="shared" si="0"/>
        <v>2020</v>
      </c>
      <c r="C52" s="5">
        <f t="shared" si="1"/>
        <v>6</v>
      </c>
      <c r="D52" s="5">
        <f t="shared" si="2"/>
        <v>12</v>
      </c>
      <c r="E52" s="5" t="str">
        <f t="shared" si="3"/>
        <v>June</v>
      </c>
      <c r="F52" s="6" t="s">
        <v>132</v>
      </c>
      <c r="G52" s="6" t="s">
        <v>133</v>
      </c>
      <c r="H52" s="6" t="s">
        <v>105</v>
      </c>
      <c r="I52" s="6" t="s">
        <v>106</v>
      </c>
      <c r="J52" s="6" t="s">
        <v>107</v>
      </c>
      <c r="K52" s="6" t="s">
        <v>108</v>
      </c>
      <c r="L52" s="6" t="s">
        <v>127</v>
      </c>
      <c r="M52" s="6">
        <v>1</v>
      </c>
      <c r="N52" s="7">
        <v>5200</v>
      </c>
      <c r="O52" s="7">
        <f t="shared" si="4"/>
        <v>5200</v>
      </c>
      <c r="P52" s="6" t="s">
        <v>27</v>
      </c>
      <c r="Q52" s="6" t="s">
        <v>35</v>
      </c>
      <c r="R52" s="4">
        <v>44024</v>
      </c>
      <c r="S52" s="6" t="s">
        <v>85</v>
      </c>
      <c r="T52" s="6" t="s">
        <v>30</v>
      </c>
    </row>
    <row r="53" spans="1:20" x14ac:dyDescent="0.35">
      <c r="A53" s="4">
        <v>44024</v>
      </c>
      <c r="B53" s="5">
        <f t="shared" si="0"/>
        <v>2020</v>
      </c>
      <c r="C53" s="5">
        <f t="shared" si="1"/>
        <v>7</v>
      </c>
      <c r="D53" s="5">
        <f t="shared" si="2"/>
        <v>12</v>
      </c>
      <c r="E53" s="5" t="str">
        <f t="shared" si="3"/>
        <v>July</v>
      </c>
      <c r="F53" s="6" t="s">
        <v>134</v>
      </c>
      <c r="G53" s="6" t="s">
        <v>135</v>
      </c>
      <c r="H53" s="6" t="s">
        <v>105</v>
      </c>
      <c r="I53" s="6" t="s">
        <v>106</v>
      </c>
      <c r="J53" s="6" t="s">
        <v>107</v>
      </c>
      <c r="K53" s="6" t="s">
        <v>108</v>
      </c>
      <c r="L53" s="6" t="s">
        <v>112</v>
      </c>
      <c r="M53" s="6">
        <v>1</v>
      </c>
      <c r="N53" s="7">
        <v>4200</v>
      </c>
      <c r="O53" s="7">
        <f t="shared" si="4"/>
        <v>4200</v>
      </c>
      <c r="P53" s="6" t="s">
        <v>27</v>
      </c>
      <c r="Q53" s="6" t="s">
        <v>136</v>
      </c>
      <c r="R53" s="4">
        <v>44055</v>
      </c>
      <c r="S53" s="6" t="s">
        <v>29</v>
      </c>
      <c r="T53" s="6" t="s">
        <v>36</v>
      </c>
    </row>
    <row r="54" spans="1:20" x14ac:dyDescent="0.35">
      <c r="A54" s="4">
        <v>43933</v>
      </c>
      <c r="B54" s="5">
        <f t="shared" si="0"/>
        <v>2020</v>
      </c>
      <c r="C54" s="5">
        <f t="shared" si="1"/>
        <v>4</v>
      </c>
      <c r="D54" s="5">
        <f t="shared" si="2"/>
        <v>12</v>
      </c>
      <c r="E54" s="5" t="str">
        <f t="shared" si="3"/>
        <v>April</v>
      </c>
      <c r="F54" s="6" t="s">
        <v>137</v>
      </c>
      <c r="G54" s="6" t="s">
        <v>138</v>
      </c>
      <c r="H54" s="6" t="s">
        <v>105</v>
      </c>
      <c r="I54" s="6" t="s">
        <v>106</v>
      </c>
      <c r="J54" s="6" t="s">
        <v>107</v>
      </c>
      <c r="K54" s="6" t="s">
        <v>108</v>
      </c>
      <c r="L54" s="6" t="s">
        <v>112</v>
      </c>
      <c r="M54" s="6">
        <v>1</v>
      </c>
      <c r="N54" s="7">
        <v>4200</v>
      </c>
      <c r="O54" s="7">
        <f t="shared" si="4"/>
        <v>4200</v>
      </c>
      <c r="P54" s="6" t="s">
        <v>27</v>
      </c>
      <c r="Q54" s="6" t="s">
        <v>139</v>
      </c>
      <c r="R54" s="4">
        <v>44055</v>
      </c>
      <c r="S54" s="6" t="s">
        <v>29</v>
      </c>
      <c r="T54" s="6" t="s">
        <v>36</v>
      </c>
    </row>
    <row r="55" spans="1:20" x14ac:dyDescent="0.35">
      <c r="A55" s="4">
        <v>43933</v>
      </c>
      <c r="B55" s="5">
        <f t="shared" si="0"/>
        <v>2020</v>
      </c>
      <c r="C55" s="5">
        <f t="shared" si="1"/>
        <v>4</v>
      </c>
      <c r="D55" s="5">
        <f t="shared" si="2"/>
        <v>12</v>
      </c>
      <c r="E55" s="5" t="str">
        <f t="shared" si="3"/>
        <v>April</v>
      </c>
      <c r="F55" s="6" t="s">
        <v>137</v>
      </c>
      <c r="G55" s="6" t="s">
        <v>138</v>
      </c>
      <c r="H55" s="6" t="s">
        <v>105</v>
      </c>
      <c r="I55" s="6" t="s">
        <v>106</v>
      </c>
      <c r="J55" s="6" t="s">
        <v>107</v>
      </c>
      <c r="K55" s="6" t="s">
        <v>108</v>
      </c>
      <c r="L55" s="6" t="s">
        <v>140</v>
      </c>
      <c r="M55" s="6">
        <v>1</v>
      </c>
      <c r="N55" s="7">
        <v>6850</v>
      </c>
      <c r="O55" s="7">
        <f t="shared" si="4"/>
        <v>6850</v>
      </c>
      <c r="P55" s="6" t="s">
        <v>27</v>
      </c>
      <c r="Q55" s="6" t="s">
        <v>139</v>
      </c>
      <c r="R55" s="4">
        <v>44055</v>
      </c>
      <c r="S55" s="6" t="s">
        <v>29</v>
      </c>
      <c r="T55" s="6" t="s">
        <v>36</v>
      </c>
    </row>
    <row r="56" spans="1:20" x14ac:dyDescent="0.35">
      <c r="A56" s="4">
        <v>44055</v>
      </c>
      <c r="B56" s="5">
        <f t="shared" si="0"/>
        <v>2020</v>
      </c>
      <c r="C56" s="5">
        <f t="shared" si="1"/>
        <v>8</v>
      </c>
      <c r="D56" s="5">
        <f t="shared" si="2"/>
        <v>12</v>
      </c>
      <c r="E56" s="5" t="str">
        <f t="shared" si="3"/>
        <v>August</v>
      </c>
      <c r="F56" s="6" t="s">
        <v>141</v>
      </c>
      <c r="G56" s="6" t="s">
        <v>142</v>
      </c>
      <c r="H56" s="6" t="s">
        <v>105</v>
      </c>
      <c r="I56" s="6" t="s">
        <v>106</v>
      </c>
      <c r="J56" s="6" t="s">
        <v>107</v>
      </c>
      <c r="K56" s="6" t="s">
        <v>108</v>
      </c>
      <c r="L56" s="6" t="s">
        <v>112</v>
      </c>
      <c r="M56" s="6">
        <v>3</v>
      </c>
      <c r="N56" s="7">
        <v>4200</v>
      </c>
      <c r="O56" s="7">
        <f t="shared" si="4"/>
        <v>12600</v>
      </c>
      <c r="P56" s="6" t="s">
        <v>27</v>
      </c>
      <c r="Q56" s="6" t="s">
        <v>77</v>
      </c>
      <c r="R56" s="4">
        <v>44086</v>
      </c>
      <c r="S56" s="6" t="s">
        <v>85</v>
      </c>
      <c r="T56" s="6" t="s">
        <v>30</v>
      </c>
    </row>
    <row r="57" spans="1:20" x14ac:dyDescent="0.35">
      <c r="A57" s="4">
        <v>44177</v>
      </c>
      <c r="B57" s="5">
        <f t="shared" si="0"/>
        <v>2020</v>
      </c>
      <c r="C57" s="5">
        <f t="shared" si="1"/>
        <v>12</v>
      </c>
      <c r="D57" s="5">
        <f t="shared" si="2"/>
        <v>12</v>
      </c>
      <c r="E57" s="5" t="str">
        <f t="shared" si="3"/>
        <v>December</v>
      </c>
      <c r="F57" s="6" t="s">
        <v>143</v>
      </c>
      <c r="G57" s="6" t="s">
        <v>144</v>
      </c>
      <c r="H57" s="6" t="s">
        <v>105</v>
      </c>
      <c r="I57" s="6" t="s">
        <v>106</v>
      </c>
      <c r="J57" s="6" t="s">
        <v>107</v>
      </c>
      <c r="K57" s="6" t="s">
        <v>108</v>
      </c>
      <c r="L57" s="6" t="s">
        <v>112</v>
      </c>
      <c r="M57" s="6">
        <v>2</v>
      </c>
      <c r="N57" s="7">
        <v>4200</v>
      </c>
      <c r="O57" s="7">
        <f t="shared" si="4"/>
        <v>8400</v>
      </c>
      <c r="P57" s="6" t="s">
        <v>27</v>
      </c>
      <c r="Q57" s="6" t="s">
        <v>145</v>
      </c>
      <c r="R57" s="4" t="s">
        <v>146</v>
      </c>
      <c r="S57" s="6" t="s">
        <v>85</v>
      </c>
      <c r="T57" s="6" t="s">
        <v>36</v>
      </c>
    </row>
    <row r="58" spans="1:20" x14ac:dyDescent="0.35">
      <c r="A58" s="4">
        <v>43842</v>
      </c>
      <c r="B58" s="5">
        <f t="shared" si="0"/>
        <v>2020</v>
      </c>
      <c r="C58" s="5">
        <f t="shared" si="1"/>
        <v>1</v>
      </c>
      <c r="D58" s="5">
        <f t="shared" si="2"/>
        <v>12</v>
      </c>
      <c r="E58" s="5" t="str">
        <f t="shared" si="3"/>
        <v>January</v>
      </c>
      <c r="F58" s="6" t="s">
        <v>147</v>
      </c>
      <c r="G58" s="6" t="s">
        <v>148</v>
      </c>
      <c r="H58" s="6" t="s">
        <v>44</v>
      </c>
      <c r="I58" s="6" t="s">
        <v>149</v>
      </c>
      <c r="J58" s="6" t="s">
        <v>150</v>
      </c>
      <c r="K58" s="6" t="s">
        <v>151</v>
      </c>
      <c r="L58" s="6" t="s">
        <v>152</v>
      </c>
      <c r="M58" s="6">
        <v>1</v>
      </c>
      <c r="N58" s="7">
        <v>11200</v>
      </c>
      <c r="O58" s="7">
        <f t="shared" si="4"/>
        <v>11200</v>
      </c>
      <c r="P58" s="6" t="s">
        <v>27</v>
      </c>
      <c r="Q58" s="6" t="s">
        <v>153</v>
      </c>
      <c r="R58" s="4">
        <v>43873</v>
      </c>
      <c r="S58" s="6" t="s">
        <v>29</v>
      </c>
      <c r="T58" s="6" t="s">
        <v>36</v>
      </c>
    </row>
    <row r="59" spans="1:20" x14ac:dyDescent="0.35">
      <c r="A59" s="4">
        <v>43842</v>
      </c>
      <c r="B59" s="5">
        <f t="shared" si="0"/>
        <v>2020</v>
      </c>
      <c r="C59" s="5">
        <f t="shared" si="1"/>
        <v>1</v>
      </c>
      <c r="D59" s="5">
        <f t="shared" si="2"/>
        <v>12</v>
      </c>
      <c r="E59" s="5" t="str">
        <f t="shared" si="3"/>
        <v>January</v>
      </c>
      <c r="F59" s="6" t="s">
        <v>154</v>
      </c>
      <c r="G59" s="6" t="s">
        <v>21</v>
      </c>
      <c r="H59" s="6" t="s">
        <v>44</v>
      </c>
      <c r="I59" s="6" t="s">
        <v>149</v>
      </c>
      <c r="J59" s="6" t="s">
        <v>150</v>
      </c>
      <c r="K59" s="6" t="s">
        <v>151</v>
      </c>
      <c r="L59" s="6" t="s">
        <v>155</v>
      </c>
      <c r="M59" s="6">
        <v>15</v>
      </c>
      <c r="N59" s="7">
        <v>9120</v>
      </c>
      <c r="O59" s="7">
        <f t="shared" si="4"/>
        <v>136800</v>
      </c>
      <c r="P59" s="6" t="s">
        <v>27</v>
      </c>
      <c r="Q59" s="6" t="s">
        <v>28</v>
      </c>
      <c r="R59" s="4">
        <v>43873</v>
      </c>
      <c r="S59" s="6" t="s">
        <v>29</v>
      </c>
      <c r="T59" s="6" t="s">
        <v>30</v>
      </c>
    </row>
    <row r="60" spans="1:20" x14ac:dyDescent="0.35">
      <c r="A60" s="4">
        <v>43842</v>
      </c>
      <c r="B60" s="5">
        <f t="shared" si="0"/>
        <v>2020</v>
      </c>
      <c r="C60" s="5">
        <f t="shared" si="1"/>
        <v>1</v>
      </c>
      <c r="D60" s="5">
        <f t="shared" si="2"/>
        <v>12</v>
      </c>
      <c r="E60" s="5" t="str">
        <f t="shared" si="3"/>
        <v>January</v>
      </c>
      <c r="F60" s="6" t="s">
        <v>20</v>
      </c>
      <c r="G60" s="6" t="s">
        <v>21</v>
      </c>
      <c r="H60" s="6" t="s">
        <v>44</v>
      </c>
      <c r="I60" s="6" t="s">
        <v>156</v>
      </c>
      <c r="J60" s="6" t="s">
        <v>150</v>
      </c>
      <c r="K60" s="6" t="s">
        <v>157</v>
      </c>
      <c r="L60" s="6" t="s">
        <v>158</v>
      </c>
      <c r="M60" s="6">
        <v>3</v>
      </c>
      <c r="N60" s="7">
        <v>7450</v>
      </c>
      <c r="O60" s="7">
        <f t="shared" si="4"/>
        <v>22350</v>
      </c>
      <c r="P60" s="6" t="s">
        <v>27</v>
      </c>
      <c r="Q60" s="6" t="s">
        <v>28</v>
      </c>
      <c r="R60" s="4">
        <v>43873</v>
      </c>
      <c r="S60" s="6" t="s">
        <v>29</v>
      </c>
      <c r="T60" s="6" t="s">
        <v>30</v>
      </c>
    </row>
    <row r="61" spans="1:20" x14ac:dyDescent="0.35">
      <c r="A61" s="4">
        <v>43842</v>
      </c>
      <c r="B61" s="5">
        <f t="shared" si="0"/>
        <v>2020</v>
      </c>
      <c r="C61" s="5">
        <f t="shared" si="1"/>
        <v>1</v>
      </c>
      <c r="D61" s="5">
        <f t="shared" si="2"/>
        <v>12</v>
      </c>
      <c r="E61" s="5" t="str">
        <f t="shared" si="3"/>
        <v>January</v>
      </c>
      <c r="F61" s="6" t="s">
        <v>20</v>
      </c>
      <c r="G61" s="6" t="s">
        <v>21</v>
      </c>
      <c r="H61" s="6" t="s">
        <v>44</v>
      </c>
      <c r="I61" s="6" t="s">
        <v>149</v>
      </c>
      <c r="J61" s="6" t="s">
        <v>150</v>
      </c>
      <c r="K61" s="6" t="s">
        <v>151</v>
      </c>
      <c r="L61" s="6" t="s">
        <v>152</v>
      </c>
      <c r="M61" s="6">
        <v>2</v>
      </c>
      <c r="N61" s="7">
        <v>11200</v>
      </c>
      <c r="O61" s="7">
        <f t="shared" si="4"/>
        <v>22400</v>
      </c>
      <c r="P61" s="6" t="s">
        <v>27</v>
      </c>
      <c r="Q61" s="6" t="s">
        <v>28</v>
      </c>
      <c r="R61" s="4">
        <v>43873</v>
      </c>
      <c r="S61" s="6" t="s">
        <v>29</v>
      </c>
      <c r="T61" s="6" t="s">
        <v>30</v>
      </c>
    </row>
    <row r="62" spans="1:20" x14ac:dyDescent="0.35">
      <c r="A62" s="4">
        <v>43842</v>
      </c>
      <c r="B62" s="5">
        <f t="shared" si="0"/>
        <v>2020</v>
      </c>
      <c r="C62" s="5">
        <f t="shared" si="1"/>
        <v>1</v>
      </c>
      <c r="D62" s="5">
        <f t="shared" si="2"/>
        <v>12</v>
      </c>
      <c r="E62" s="5" t="str">
        <f t="shared" si="3"/>
        <v>January</v>
      </c>
      <c r="F62" s="6" t="s">
        <v>159</v>
      </c>
      <c r="G62" s="6" t="s">
        <v>160</v>
      </c>
      <c r="H62" s="6" t="s">
        <v>44</v>
      </c>
      <c r="I62" s="6" t="s">
        <v>149</v>
      </c>
      <c r="J62" s="6" t="s">
        <v>150</v>
      </c>
      <c r="K62" s="6" t="s">
        <v>151</v>
      </c>
      <c r="L62" s="6" t="s">
        <v>155</v>
      </c>
      <c r="M62" s="6">
        <v>5</v>
      </c>
      <c r="N62" s="7">
        <v>9120</v>
      </c>
      <c r="O62" s="7">
        <f t="shared" si="4"/>
        <v>45600</v>
      </c>
      <c r="P62" s="6" t="s">
        <v>27</v>
      </c>
      <c r="Q62" s="6" t="s">
        <v>161</v>
      </c>
      <c r="R62" s="4">
        <v>43873</v>
      </c>
      <c r="S62" s="6" t="s">
        <v>29</v>
      </c>
      <c r="T62" s="6" t="s">
        <v>30</v>
      </c>
    </row>
    <row r="63" spans="1:20" x14ac:dyDescent="0.35">
      <c r="A63" s="4">
        <v>43842</v>
      </c>
      <c r="B63" s="5">
        <f t="shared" si="0"/>
        <v>2020</v>
      </c>
      <c r="C63" s="5">
        <f t="shared" si="1"/>
        <v>1</v>
      </c>
      <c r="D63" s="5">
        <f t="shared" si="2"/>
        <v>12</v>
      </c>
      <c r="E63" s="5" t="str">
        <f t="shared" si="3"/>
        <v>January</v>
      </c>
      <c r="F63" s="6" t="s">
        <v>162</v>
      </c>
      <c r="G63" s="6" t="s">
        <v>512</v>
      </c>
      <c r="H63" s="6" t="s">
        <v>164</v>
      </c>
      <c r="I63" s="6" t="s">
        <v>165</v>
      </c>
      <c r="J63" s="6" t="s">
        <v>150</v>
      </c>
      <c r="K63" s="6" t="s">
        <v>166</v>
      </c>
      <c r="L63" s="6" t="s">
        <v>167</v>
      </c>
      <c r="M63" s="6">
        <v>1</v>
      </c>
      <c r="N63" s="7">
        <v>7800</v>
      </c>
      <c r="O63" s="7">
        <f t="shared" si="4"/>
        <v>7800</v>
      </c>
      <c r="P63" s="6" t="s">
        <v>27</v>
      </c>
      <c r="Q63" s="6" t="s">
        <v>35</v>
      </c>
      <c r="R63" s="4">
        <v>43873</v>
      </c>
      <c r="S63" s="6" t="s">
        <v>29</v>
      </c>
      <c r="T63" s="6" t="s">
        <v>36</v>
      </c>
    </row>
    <row r="64" spans="1:20" x14ac:dyDescent="0.35">
      <c r="A64" s="4">
        <v>43842</v>
      </c>
      <c r="B64" s="5">
        <f t="shared" si="0"/>
        <v>2020</v>
      </c>
      <c r="C64" s="5">
        <f t="shared" si="1"/>
        <v>1</v>
      </c>
      <c r="D64" s="5">
        <f t="shared" si="2"/>
        <v>12</v>
      </c>
      <c r="E64" s="5" t="str">
        <f t="shared" si="3"/>
        <v>January</v>
      </c>
      <c r="F64" s="6" t="s">
        <v>162</v>
      </c>
      <c r="G64" s="6" t="s">
        <v>512</v>
      </c>
      <c r="H64" s="6" t="s">
        <v>44</v>
      </c>
      <c r="I64" s="6" t="s">
        <v>149</v>
      </c>
      <c r="J64" s="6" t="s">
        <v>150</v>
      </c>
      <c r="K64" s="6" t="s">
        <v>151</v>
      </c>
      <c r="L64" s="6" t="s">
        <v>155</v>
      </c>
      <c r="M64" s="6">
        <v>1</v>
      </c>
      <c r="N64" s="7">
        <v>9120</v>
      </c>
      <c r="O64" s="7">
        <f t="shared" si="4"/>
        <v>9120</v>
      </c>
      <c r="P64" s="6" t="s">
        <v>27</v>
      </c>
      <c r="Q64" s="6" t="s">
        <v>35</v>
      </c>
      <c r="R64" s="4">
        <v>43873</v>
      </c>
      <c r="S64" s="6" t="s">
        <v>29</v>
      </c>
      <c r="T64" s="6" t="s">
        <v>36</v>
      </c>
    </row>
    <row r="65" spans="1:20" x14ac:dyDescent="0.35">
      <c r="A65" s="4">
        <v>43842</v>
      </c>
      <c r="B65" s="5">
        <f t="shared" si="0"/>
        <v>2020</v>
      </c>
      <c r="C65" s="5">
        <f t="shared" si="1"/>
        <v>1</v>
      </c>
      <c r="D65" s="5">
        <f t="shared" si="2"/>
        <v>12</v>
      </c>
      <c r="E65" s="5" t="str">
        <f t="shared" si="3"/>
        <v>January</v>
      </c>
      <c r="F65" s="6" t="s">
        <v>162</v>
      </c>
      <c r="G65" s="6" t="s">
        <v>512</v>
      </c>
      <c r="H65" s="6" t="s">
        <v>168</v>
      </c>
      <c r="I65" s="6" t="s">
        <v>169</v>
      </c>
      <c r="J65" s="6" t="s">
        <v>150</v>
      </c>
      <c r="K65" s="6" t="s">
        <v>170</v>
      </c>
      <c r="L65" s="6" t="s">
        <v>171</v>
      </c>
      <c r="M65" s="6">
        <v>1</v>
      </c>
      <c r="N65" s="7">
        <v>3000</v>
      </c>
      <c r="O65" s="7">
        <f t="shared" si="4"/>
        <v>3000</v>
      </c>
      <c r="P65" s="6" t="s">
        <v>27</v>
      </c>
      <c r="Q65" s="6" t="s">
        <v>35</v>
      </c>
      <c r="R65" s="4">
        <v>43873</v>
      </c>
      <c r="S65" s="6" t="s">
        <v>29</v>
      </c>
      <c r="T65" s="6" t="s">
        <v>36</v>
      </c>
    </row>
    <row r="66" spans="1:20" x14ac:dyDescent="0.35">
      <c r="A66" s="4">
        <v>43842</v>
      </c>
      <c r="B66" s="5">
        <f t="shared" ref="B66:B129" si="5">YEAR(A66)</f>
        <v>2020</v>
      </c>
      <c r="C66" s="5">
        <f t="shared" ref="C66:C129" si="6">MONTH(A66)</f>
        <v>1</v>
      </c>
      <c r="D66" s="5">
        <f t="shared" ref="D66:D129" si="7">DAY(A66)</f>
        <v>12</v>
      </c>
      <c r="E66" s="5" t="str">
        <f t="shared" ref="E66:E129" si="8">TEXT(A66,"MMMM")</f>
        <v>January</v>
      </c>
      <c r="F66" s="6" t="s">
        <v>162</v>
      </c>
      <c r="G66" s="6" t="s">
        <v>512</v>
      </c>
      <c r="H66" s="6" t="s">
        <v>39</v>
      </c>
      <c r="I66" s="6" t="s">
        <v>172</v>
      </c>
      <c r="J66" s="6" t="s">
        <v>150</v>
      </c>
      <c r="K66" s="6" t="s">
        <v>166</v>
      </c>
      <c r="L66" s="6" t="s">
        <v>173</v>
      </c>
      <c r="M66" s="6">
        <v>1</v>
      </c>
      <c r="N66" s="7">
        <v>1860</v>
      </c>
      <c r="O66" s="7">
        <f t="shared" ref="O66:O129" si="9">M66*N66</f>
        <v>1860</v>
      </c>
      <c r="P66" s="6" t="s">
        <v>27</v>
      </c>
      <c r="Q66" s="6" t="s">
        <v>35</v>
      </c>
      <c r="R66" s="4">
        <v>43873</v>
      </c>
      <c r="S66" s="6" t="s">
        <v>29</v>
      </c>
      <c r="T66" s="6" t="s">
        <v>36</v>
      </c>
    </row>
    <row r="67" spans="1:20" x14ac:dyDescent="0.35">
      <c r="A67" s="4">
        <v>43842</v>
      </c>
      <c r="B67" s="5">
        <f t="shared" si="5"/>
        <v>2020</v>
      </c>
      <c r="C67" s="5">
        <f t="shared" si="6"/>
        <v>1</v>
      </c>
      <c r="D67" s="5">
        <f t="shared" si="7"/>
        <v>12</v>
      </c>
      <c r="E67" s="5" t="str">
        <f t="shared" si="8"/>
        <v>January</v>
      </c>
      <c r="F67" s="6" t="s">
        <v>174</v>
      </c>
      <c r="G67" s="6" t="s">
        <v>175</v>
      </c>
      <c r="H67" s="6" t="s">
        <v>176</v>
      </c>
      <c r="I67" s="6" t="s">
        <v>177</v>
      </c>
      <c r="J67" s="6" t="s">
        <v>150</v>
      </c>
      <c r="K67" s="6" t="s">
        <v>157</v>
      </c>
      <c r="L67" s="6" t="s">
        <v>178</v>
      </c>
      <c r="M67" s="6">
        <v>1</v>
      </c>
      <c r="N67" s="7">
        <v>2000</v>
      </c>
      <c r="O67" s="7">
        <f t="shared" si="9"/>
        <v>2000</v>
      </c>
      <c r="P67" s="6" t="s">
        <v>27</v>
      </c>
      <c r="Q67" s="6" t="s">
        <v>179</v>
      </c>
      <c r="R67" s="4">
        <v>43873</v>
      </c>
      <c r="S67" s="6" t="s">
        <v>29</v>
      </c>
      <c r="T67" s="6" t="s">
        <v>36</v>
      </c>
    </row>
    <row r="68" spans="1:20" x14ac:dyDescent="0.35">
      <c r="A68" s="4">
        <v>43842</v>
      </c>
      <c r="B68" s="5">
        <f t="shared" si="5"/>
        <v>2020</v>
      </c>
      <c r="C68" s="5">
        <f t="shared" si="6"/>
        <v>1</v>
      </c>
      <c r="D68" s="5">
        <f t="shared" si="7"/>
        <v>12</v>
      </c>
      <c r="E68" s="5" t="str">
        <f t="shared" si="8"/>
        <v>January</v>
      </c>
      <c r="F68" s="6" t="s">
        <v>174</v>
      </c>
      <c r="G68" s="6" t="s">
        <v>175</v>
      </c>
      <c r="H68" s="6" t="s">
        <v>44</v>
      </c>
      <c r="I68" s="6" t="s">
        <v>149</v>
      </c>
      <c r="J68" s="6" t="s">
        <v>150</v>
      </c>
      <c r="K68" s="6" t="s">
        <v>151</v>
      </c>
      <c r="L68" s="6" t="s">
        <v>155</v>
      </c>
      <c r="M68" s="6">
        <v>1</v>
      </c>
      <c r="N68" s="7">
        <v>9120</v>
      </c>
      <c r="O68" s="7">
        <f t="shared" si="9"/>
        <v>9120</v>
      </c>
      <c r="P68" s="6" t="s">
        <v>27</v>
      </c>
      <c r="Q68" s="6" t="s">
        <v>179</v>
      </c>
      <c r="R68" s="4">
        <v>43873</v>
      </c>
      <c r="S68" s="6" t="s">
        <v>29</v>
      </c>
      <c r="T68" s="6" t="s">
        <v>36</v>
      </c>
    </row>
    <row r="69" spans="1:20" x14ac:dyDescent="0.35">
      <c r="A69" s="4">
        <v>43842</v>
      </c>
      <c r="B69" s="5">
        <f t="shared" si="5"/>
        <v>2020</v>
      </c>
      <c r="C69" s="5">
        <f t="shared" si="6"/>
        <v>1</v>
      </c>
      <c r="D69" s="5">
        <f t="shared" si="7"/>
        <v>12</v>
      </c>
      <c r="E69" s="5" t="str">
        <f t="shared" si="8"/>
        <v>January</v>
      </c>
      <c r="F69" s="6" t="s">
        <v>180</v>
      </c>
      <c r="G69" s="6" t="s">
        <v>181</v>
      </c>
      <c r="H69" s="6" t="s">
        <v>44</v>
      </c>
      <c r="I69" s="6" t="s">
        <v>149</v>
      </c>
      <c r="J69" s="6" t="s">
        <v>150</v>
      </c>
      <c r="K69" s="6" t="s">
        <v>151</v>
      </c>
      <c r="L69" s="6" t="s">
        <v>155</v>
      </c>
      <c r="M69" s="6">
        <v>2</v>
      </c>
      <c r="N69" s="7">
        <v>9120</v>
      </c>
      <c r="O69" s="7">
        <f t="shared" si="9"/>
        <v>18240</v>
      </c>
      <c r="P69" s="6" t="s">
        <v>27</v>
      </c>
      <c r="Q69" s="6" t="s">
        <v>182</v>
      </c>
      <c r="R69" s="4">
        <v>43873</v>
      </c>
      <c r="S69" s="6" t="s">
        <v>29</v>
      </c>
      <c r="T69" s="6" t="s">
        <v>36</v>
      </c>
    </row>
    <row r="70" spans="1:20" x14ac:dyDescent="0.35">
      <c r="A70" s="4">
        <v>43842</v>
      </c>
      <c r="B70" s="5">
        <f t="shared" si="5"/>
        <v>2020</v>
      </c>
      <c r="C70" s="5">
        <f t="shared" si="6"/>
        <v>1</v>
      </c>
      <c r="D70" s="5">
        <f t="shared" si="7"/>
        <v>12</v>
      </c>
      <c r="E70" s="5" t="str">
        <f t="shared" si="8"/>
        <v>January</v>
      </c>
      <c r="F70" s="6" t="s">
        <v>183</v>
      </c>
      <c r="G70" s="6" t="s">
        <v>184</v>
      </c>
      <c r="H70" s="6" t="s">
        <v>168</v>
      </c>
      <c r="I70" s="6" t="s">
        <v>169</v>
      </c>
      <c r="J70" s="6" t="s">
        <v>150</v>
      </c>
      <c r="K70" s="6" t="s">
        <v>170</v>
      </c>
      <c r="L70" s="6" t="s">
        <v>185</v>
      </c>
      <c r="M70" s="6">
        <v>1</v>
      </c>
      <c r="N70" s="7">
        <v>3000</v>
      </c>
      <c r="O70" s="7">
        <f t="shared" si="9"/>
        <v>3000</v>
      </c>
      <c r="P70" s="6" t="s">
        <v>27</v>
      </c>
      <c r="Q70" s="6" t="s">
        <v>186</v>
      </c>
      <c r="R70" s="4">
        <v>43873</v>
      </c>
      <c r="S70" s="6" t="s">
        <v>29</v>
      </c>
      <c r="T70" s="6" t="s">
        <v>36</v>
      </c>
    </row>
    <row r="71" spans="1:20" x14ac:dyDescent="0.35">
      <c r="A71" s="4">
        <v>43842</v>
      </c>
      <c r="B71" s="5">
        <f t="shared" si="5"/>
        <v>2020</v>
      </c>
      <c r="C71" s="5">
        <f t="shared" si="6"/>
        <v>1</v>
      </c>
      <c r="D71" s="5">
        <f t="shared" si="7"/>
        <v>12</v>
      </c>
      <c r="E71" s="5" t="str">
        <f t="shared" si="8"/>
        <v>January</v>
      </c>
      <c r="F71" s="6" t="s">
        <v>183</v>
      </c>
      <c r="G71" s="6" t="s">
        <v>184</v>
      </c>
      <c r="H71" s="6" t="s">
        <v>39</v>
      </c>
      <c r="I71" s="6" t="s">
        <v>172</v>
      </c>
      <c r="J71" s="6" t="s">
        <v>150</v>
      </c>
      <c r="K71" s="6" t="s">
        <v>166</v>
      </c>
      <c r="L71" s="6" t="s">
        <v>187</v>
      </c>
      <c r="M71" s="6">
        <v>1</v>
      </c>
      <c r="N71" s="7">
        <v>4400</v>
      </c>
      <c r="O71" s="7">
        <f t="shared" si="9"/>
        <v>4400</v>
      </c>
      <c r="P71" s="6" t="s">
        <v>27</v>
      </c>
      <c r="Q71" s="6" t="s">
        <v>186</v>
      </c>
      <c r="R71" s="4">
        <v>43873</v>
      </c>
      <c r="S71" s="6" t="s">
        <v>29</v>
      </c>
      <c r="T71" s="6" t="s">
        <v>36</v>
      </c>
    </row>
    <row r="72" spans="1:20" x14ac:dyDescent="0.35">
      <c r="A72" s="4">
        <v>43842</v>
      </c>
      <c r="B72" s="5">
        <f t="shared" si="5"/>
        <v>2020</v>
      </c>
      <c r="C72" s="5">
        <f t="shared" si="6"/>
        <v>1</v>
      </c>
      <c r="D72" s="5">
        <f t="shared" si="7"/>
        <v>12</v>
      </c>
      <c r="E72" s="5" t="str">
        <f t="shared" si="8"/>
        <v>January</v>
      </c>
      <c r="F72" s="6" t="s">
        <v>37</v>
      </c>
      <c r="G72" s="6" t="s">
        <v>38</v>
      </c>
      <c r="H72" s="6" t="s">
        <v>44</v>
      </c>
      <c r="I72" s="6" t="s">
        <v>149</v>
      </c>
      <c r="J72" s="6" t="s">
        <v>150</v>
      </c>
      <c r="K72" s="6" t="s">
        <v>151</v>
      </c>
      <c r="L72" s="6" t="s">
        <v>188</v>
      </c>
      <c r="M72" s="6">
        <v>1</v>
      </c>
      <c r="N72" s="7">
        <v>9350</v>
      </c>
      <c r="O72" s="7">
        <f t="shared" si="9"/>
        <v>9350</v>
      </c>
      <c r="P72" s="6" t="s">
        <v>27</v>
      </c>
      <c r="Q72" s="6" t="s">
        <v>43</v>
      </c>
      <c r="R72" s="4">
        <v>43873</v>
      </c>
      <c r="S72" s="6" t="s">
        <v>29</v>
      </c>
      <c r="T72" s="6" t="s">
        <v>30</v>
      </c>
    </row>
    <row r="73" spans="1:20" x14ac:dyDescent="0.35">
      <c r="A73" s="4">
        <v>43842</v>
      </c>
      <c r="B73" s="5">
        <f t="shared" si="5"/>
        <v>2020</v>
      </c>
      <c r="C73" s="5">
        <f t="shared" si="6"/>
        <v>1</v>
      </c>
      <c r="D73" s="5">
        <f t="shared" si="7"/>
        <v>12</v>
      </c>
      <c r="E73" s="5" t="str">
        <f t="shared" si="8"/>
        <v>January</v>
      </c>
      <c r="F73" s="6" t="s">
        <v>189</v>
      </c>
      <c r="G73" s="6" t="s">
        <v>55</v>
      </c>
      <c r="H73" s="6" t="s">
        <v>44</v>
      </c>
      <c r="I73" s="6" t="s">
        <v>149</v>
      </c>
      <c r="J73" s="6" t="s">
        <v>150</v>
      </c>
      <c r="K73" s="6" t="s">
        <v>151</v>
      </c>
      <c r="L73" s="6" t="s">
        <v>190</v>
      </c>
      <c r="M73" s="6">
        <v>5</v>
      </c>
      <c r="N73" s="7">
        <v>10050</v>
      </c>
      <c r="O73" s="7">
        <f t="shared" si="9"/>
        <v>50250</v>
      </c>
      <c r="P73" s="6" t="s">
        <v>27</v>
      </c>
      <c r="Q73" s="6" t="s">
        <v>43</v>
      </c>
      <c r="R73" s="4">
        <v>43873</v>
      </c>
      <c r="S73" s="6" t="s">
        <v>56</v>
      </c>
      <c r="T73" s="6" t="s">
        <v>30</v>
      </c>
    </row>
    <row r="74" spans="1:20" x14ac:dyDescent="0.35">
      <c r="A74" s="4">
        <v>43842</v>
      </c>
      <c r="B74" s="5">
        <f t="shared" si="5"/>
        <v>2020</v>
      </c>
      <c r="C74" s="5">
        <f t="shared" si="6"/>
        <v>1</v>
      </c>
      <c r="D74" s="5">
        <f t="shared" si="7"/>
        <v>12</v>
      </c>
      <c r="E74" s="5" t="str">
        <f t="shared" si="8"/>
        <v>January</v>
      </c>
      <c r="F74" s="6" t="s">
        <v>189</v>
      </c>
      <c r="G74" s="6" t="s">
        <v>55</v>
      </c>
      <c r="H74" s="6" t="s">
        <v>44</v>
      </c>
      <c r="I74" s="6" t="s">
        <v>156</v>
      </c>
      <c r="J74" s="6" t="s">
        <v>150</v>
      </c>
      <c r="K74" s="6" t="s">
        <v>157</v>
      </c>
      <c r="L74" s="6" t="s">
        <v>158</v>
      </c>
      <c r="M74" s="6">
        <v>2</v>
      </c>
      <c r="N74" s="7">
        <v>7450</v>
      </c>
      <c r="O74" s="7">
        <f t="shared" si="9"/>
        <v>14900</v>
      </c>
      <c r="P74" s="6" t="s">
        <v>27</v>
      </c>
      <c r="Q74" s="6" t="s">
        <v>43</v>
      </c>
      <c r="R74" s="4">
        <v>43873</v>
      </c>
      <c r="S74" s="6" t="s">
        <v>56</v>
      </c>
      <c r="T74" s="6" t="s">
        <v>30</v>
      </c>
    </row>
    <row r="75" spans="1:20" x14ac:dyDescent="0.35">
      <c r="A75" s="4">
        <v>43842</v>
      </c>
      <c r="B75" s="5">
        <f t="shared" si="5"/>
        <v>2020</v>
      </c>
      <c r="C75" s="5">
        <f t="shared" si="6"/>
        <v>1</v>
      </c>
      <c r="D75" s="5">
        <f t="shared" si="7"/>
        <v>12</v>
      </c>
      <c r="E75" s="5" t="str">
        <f t="shared" si="8"/>
        <v>January</v>
      </c>
      <c r="F75" s="6" t="s">
        <v>189</v>
      </c>
      <c r="G75" s="6" t="s">
        <v>55</v>
      </c>
      <c r="H75" s="6" t="s">
        <v>44</v>
      </c>
      <c r="I75" s="6" t="s">
        <v>149</v>
      </c>
      <c r="J75" s="6" t="s">
        <v>150</v>
      </c>
      <c r="K75" s="6" t="s">
        <v>151</v>
      </c>
      <c r="L75" s="6" t="s">
        <v>155</v>
      </c>
      <c r="M75" s="6">
        <v>5</v>
      </c>
      <c r="N75" s="7">
        <v>9120</v>
      </c>
      <c r="O75" s="7">
        <f t="shared" si="9"/>
        <v>45600</v>
      </c>
      <c r="P75" s="6" t="s">
        <v>27</v>
      </c>
      <c r="Q75" s="6" t="s">
        <v>43</v>
      </c>
      <c r="R75" s="4">
        <v>43873</v>
      </c>
      <c r="S75" s="6" t="s">
        <v>56</v>
      </c>
      <c r="T75" s="6" t="s">
        <v>30</v>
      </c>
    </row>
    <row r="76" spans="1:20" x14ac:dyDescent="0.35">
      <c r="A76" s="4">
        <v>43873</v>
      </c>
      <c r="B76" s="5">
        <f t="shared" si="5"/>
        <v>2020</v>
      </c>
      <c r="C76" s="5">
        <f t="shared" si="6"/>
        <v>2</v>
      </c>
      <c r="D76" s="5">
        <f t="shared" si="7"/>
        <v>12</v>
      </c>
      <c r="E76" s="5" t="str">
        <f t="shared" si="8"/>
        <v>February</v>
      </c>
      <c r="F76" s="6" t="s">
        <v>103</v>
      </c>
      <c r="G76" s="6" t="s">
        <v>104</v>
      </c>
      <c r="H76" s="6" t="s">
        <v>176</v>
      </c>
      <c r="I76" s="6" t="s">
        <v>177</v>
      </c>
      <c r="J76" s="6" t="s">
        <v>150</v>
      </c>
      <c r="K76" s="6" t="s">
        <v>157</v>
      </c>
      <c r="L76" s="6" t="s">
        <v>178</v>
      </c>
      <c r="M76" s="6">
        <v>3</v>
      </c>
      <c r="N76" s="7">
        <v>2000</v>
      </c>
      <c r="O76" s="7">
        <f t="shared" si="9"/>
        <v>6000</v>
      </c>
      <c r="P76" s="6" t="s">
        <v>27</v>
      </c>
      <c r="Q76" s="6" t="s">
        <v>110</v>
      </c>
      <c r="R76" s="4">
        <v>43902</v>
      </c>
      <c r="S76" s="6" t="s">
        <v>85</v>
      </c>
      <c r="T76" s="6" t="s">
        <v>36</v>
      </c>
    </row>
    <row r="77" spans="1:20" x14ac:dyDescent="0.35">
      <c r="A77" s="4">
        <v>43873</v>
      </c>
      <c r="B77" s="5">
        <f t="shared" si="5"/>
        <v>2020</v>
      </c>
      <c r="C77" s="5">
        <f t="shared" si="6"/>
        <v>2</v>
      </c>
      <c r="D77" s="5">
        <f t="shared" si="7"/>
        <v>12</v>
      </c>
      <c r="E77" s="5" t="str">
        <f t="shared" si="8"/>
        <v>February</v>
      </c>
      <c r="F77" s="6" t="s">
        <v>103</v>
      </c>
      <c r="G77" s="6" t="s">
        <v>104</v>
      </c>
      <c r="H77" s="6" t="s">
        <v>191</v>
      </c>
      <c r="I77" s="6" t="s">
        <v>192</v>
      </c>
      <c r="J77" s="6" t="s">
        <v>150</v>
      </c>
      <c r="K77" s="6" t="s">
        <v>151</v>
      </c>
      <c r="L77" s="6" t="s">
        <v>193</v>
      </c>
      <c r="M77" s="6">
        <v>1</v>
      </c>
      <c r="N77" s="7">
        <v>9050</v>
      </c>
      <c r="O77" s="7">
        <f t="shared" si="9"/>
        <v>9050</v>
      </c>
      <c r="P77" s="6" t="s">
        <v>27</v>
      </c>
      <c r="Q77" s="6" t="s">
        <v>110</v>
      </c>
      <c r="R77" s="4">
        <v>43902</v>
      </c>
      <c r="S77" s="6" t="s">
        <v>85</v>
      </c>
      <c r="T77" s="6" t="s">
        <v>36</v>
      </c>
    </row>
    <row r="78" spans="1:20" x14ac:dyDescent="0.35">
      <c r="A78" s="4">
        <v>43873</v>
      </c>
      <c r="B78" s="5">
        <f t="shared" si="5"/>
        <v>2020</v>
      </c>
      <c r="C78" s="5">
        <f t="shared" si="6"/>
        <v>2</v>
      </c>
      <c r="D78" s="5">
        <f t="shared" si="7"/>
        <v>12</v>
      </c>
      <c r="E78" s="5" t="str">
        <f t="shared" si="8"/>
        <v>February</v>
      </c>
      <c r="F78" s="6" t="s">
        <v>194</v>
      </c>
      <c r="G78" s="6" t="s">
        <v>83</v>
      </c>
      <c r="H78" s="6" t="s">
        <v>44</v>
      </c>
      <c r="I78" s="6" t="s">
        <v>149</v>
      </c>
      <c r="J78" s="6" t="s">
        <v>150</v>
      </c>
      <c r="K78" s="6" t="s">
        <v>151</v>
      </c>
      <c r="L78" s="6" t="s">
        <v>152</v>
      </c>
      <c r="M78" s="6">
        <v>1</v>
      </c>
      <c r="N78" s="7">
        <v>11200</v>
      </c>
      <c r="O78" s="7">
        <f t="shared" si="9"/>
        <v>11200</v>
      </c>
      <c r="P78" s="6" t="s">
        <v>27</v>
      </c>
      <c r="Q78" s="6" t="s">
        <v>136</v>
      </c>
      <c r="R78" s="4">
        <v>43902</v>
      </c>
      <c r="S78" s="6" t="s">
        <v>85</v>
      </c>
      <c r="T78" s="6" t="s">
        <v>36</v>
      </c>
    </row>
    <row r="79" spans="1:20" x14ac:dyDescent="0.35">
      <c r="A79" s="4">
        <v>43873</v>
      </c>
      <c r="B79" s="5">
        <f t="shared" si="5"/>
        <v>2020</v>
      </c>
      <c r="C79" s="5">
        <f t="shared" si="6"/>
        <v>2</v>
      </c>
      <c r="D79" s="5">
        <f t="shared" si="7"/>
        <v>12</v>
      </c>
      <c r="E79" s="5" t="str">
        <f t="shared" si="8"/>
        <v>February</v>
      </c>
      <c r="F79" s="6" t="s">
        <v>194</v>
      </c>
      <c r="G79" s="6" t="s">
        <v>83</v>
      </c>
      <c r="H79" s="6" t="s">
        <v>164</v>
      </c>
      <c r="I79" s="6" t="s">
        <v>195</v>
      </c>
      <c r="J79" s="6" t="s">
        <v>150</v>
      </c>
      <c r="K79" s="6" t="s">
        <v>166</v>
      </c>
      <c r="L79" s="6" t="s">
        <v>196</v>
      </c>
      <c r="M79" s="6">
        <v>1</v>
      </c>
      <c r="N79" s="7">
        <v>11000</v>
      </c>
      <c r="O79" s="7">
        <f t="shared" si="9"/>
        <v>11000</v>
      </c>
      <c r="P79" s="6" t="s">
        <v>27</v>
      </c>
      <c r="Q79" s="6" t="s">
        <v>136</v>
      </c>
      <c r="R79" s="4">
        <v>43902</v>
      </c>
      <c r="S79" s="6" t="s">
        <v>85</v>
      </c>
      <c r="T79" s="6" t="s">
        <v>36</v>
      </c>
    </row>
    <row r="80" spans="1:20" x14ac:dyDescent="0.35">
      <c r="A80" s="4">
        <v>43873</v>
      </c>
      <c r="B80" s="5">
        <f t="shared" si="5"/>
        <v>2020</v>
      </c>
      <c r="C80" s="5">
        <f t="shared" si="6"/>
        <v>2</v>
      </c>
      <c r="D80" s="5">
        <f t="shared" si="7"/>
        <v>12</v>
      </c>
      <c r="E80" s="5" t="str">
        <f t="shared" si="8"/>
        <v>February</v>
      </c>
      <c r="F80" s="6" t="s">
        <v>197</v>
      </c>
      <c r="G80" s="6" t="s">
        <v>198</v>
      </c>
      <c r="H80" s="6" t="s">
        <v>191</v>
      </c>
      <c r="I80" s="6" t="s">
        <v>192</v>
      </c>
      <c r="J80" s="6" t="s">
        <v>150</v>
      </c>
      <c r="K80" s="6" t="s">
        <v>151</v>
      </c>
      <c r="L80" s="6" t="s">
        <v>193</v>
      </c>
      <c r="M80" s="6">
        <v>1</v>
      </c>
      <c r="N80" s="7">
        <v>9050</v>
      </c>
      <c r="O80" s="7">
        <f t="shared" si="9"/>
        <v>9050</v>
      </c>
      <c r="P80" s="6" t="s">
        <v>27</v>
      </c>
      <c r="Q80" s="6" t="s">
        <v>199</v>
      </c>
      <c r="R80" s="4">
        <v>43902</v>
      </c>
      <c r="S80" s="6" t="s">
        <v>29</v>
      </c>
      <c r="T80" s="6" t="s">
        <v>36</v>
      </c>
    </row>
    <row r="81" spans="1:20" x14ac:dyDescent="0.35">
      <c r="A81" s="4">
        <v>43873</v>
      </c>
      <c r="B81" s="5">
        <f t="shared" si="5"/>
        <v>2020</v>
      </c>
      <c r="C81" s="5">
        <f t="shared" si="6"/>
        <v>2</v>
      </c>
      <c r="D81" s="5">
        <f t="shared" si="7"/>
        <v>12</v>
      </c>
      <c r="E81" s="5" t="str">
        <f t="shared" si="8"/>
        <v>February</v>
      </c>
      <c r="F81" s="6" t="s">
        <v>197</v>
      </c>
      <c r="G81" s="6" t="s">
        <v>198</v>
      </c>
      <c r="H81" s="6" t="s">
        <v>200</v>
      </c>
      <c r="I81" s="6" t="s">
        <v>201</v>
      </c>
      <c r="J81" s="6" t="s">
        <v>150</v>
      </c>
      <c r="K81" s="6" t="s">
        <v>166</v>
      </c>
      <c r="L81" s="6" t="s">
        <v>202</v>
      </c>
      <c r="M81" s="6">
        <v>1</v>
      </c>
      <c r="N81" s="7">
        <v>7000</v>
      </c>
      <c r="O81" s="7">
        <f t="shared" si="9"/>
        <v>7000</v>
      </c>
      <c r="P81" s="6" t="s">
        <v>27</v>
      </c>
      <c r="Q81" s="6" t="s">
        <v>199</v>
      </c>
      <c r="R81" s="4">
        <v>43902</v>
      </c>
      <c r="S81" s="6" t="s">
        <v>29</v>
      </c>
      <c r="T81" s="6" t="s">
        <v>36</v>
      </c>
    </row>
    <row r="82" spans="1:20" x14ac:dyDescent="0.35">
      <c r="A82" s="4">
        <v>43873</v>
      </c>
      <c r="B82" s="5">
        <f t="shared" si="5"/>
        <v>2020</v>
      </c>
      <c r="C82" s="5">
        <f t="shared" si="6"/>
        <v>2</v>
      </c>
      <c r="D82" s="5">
        <f t="shared" si="7"/>
        <v>12</v>
      </c>
      <c r="E82" s="5" t="str">
        <f t="shared" si="8"/>
        <v>February</v>
      </c>
      <c r="F82" s="6" t="s">
        <v>197</v>
      </c>
      <c r="G82" s="6" t="s">
        <v>198</v>
      </c>
      <c r="H82" s="6" t="s">
        <v>176</v>
      </c>
      <c r="I82" s="6" t="s">
        <v>177</v>
      </c>
      <c r="J82" s="6" t="s">
        <v>150</v>
      </c>
      <c r="K82" s="6" t="s">
        <v>157</v>
      </c>
      <c r="L82" s="6" t="s">
        <v>178</v>
      </c>
      <c r="M82" s="6">
        <v>2</v>
      </c>
      <c r="N82" s="7">
        <v>2000</v>
      </c>
      <c r="O82" s="7">
        <f t="shared" si="9"/>
        <v>4000</v>
      </c>
      <c r="P82" s="6" t="s">
        <v>27</v>
      </c>
      <c r="Q82" s="6" t="s">
        <v>199</v>
      </c>
      <c r="R82" s="4">
        <v>43902</v>
      </c>
      <c r="S82" s="6" t="s">
        <v>29</v>
      </c>
      <c r="T82" s="6" t="s">
        <v>36</v>
      </c>
    </row>
    <row r="83" spans="1:20" x14ac:dyDescent="0.35">
      <c r="A83" s="4">
        <v>43873</v>
      </c>
      <c r="B83" s="5">
        <f t="shared" si="5"/>
        <v>2020</v>
      </c>
      <c r="C83" s="5">
        <f t="shared" si="6"/>
        <v>2</v>
      </c>
      <c r="D83" s="5">
        <f t="shared" si="7"/>
        <v>12</v>
      </c>
      <c r="E83" s="5" t="str">
        <f t="shared" si="8"/>
        <v>February</v>
      </c>
      <c r="F83" s="6" t="s">
        <v>197</v>
      </c>
      <c r="G83" s="6" t="s">
        <v>198</v>
      </c>
      <c r="H83" s="6" t="s">
        <v>39</v>
      </c>
      <c r="I83" s="6" t="s">
        <v>172</v>
      </c>
      <c r="J83" s="6" t="s">
        <v>150</v>
      </c>
      <c r="K83" s="6" t="s">
        <v>166</v>
      </c>
      <c r="L83" s="6" t="s">
        <v>203</v>
      </c>
      <c r="M83" s="6">
        <v>1</v>
      </c>
      <c r="N83" s="7">
        <v>3750</v>
      </c>
      <c r="O83" s="7">
        <f t="shared" si="9"/>
        <v>3750</v>
      </c>
      <c r="P83" s="6" t="s">
        <v>27</v>
      </c>
      <c r="Q83" s="6" t="s">
        <v>199</v>
      </c>
      <c r="R83" s="4">
        <v>43902</v>
      </c>
      <c r="S83" s="6" t="s">
        <v>29</v>
      </c>
      <c r="T83" s="6" t="s">
        <v>36</v>
      </c>
    </row>
    <row r="84" spans="1:20" x14ac:dyDescent="0.35">
      <c r="A84" s="4">
        <v>43873</v>
      </c>
      <c r="B84" s="5">
        <f t="shared" si="5"/>
        <v>2020</v>
      </c>
      <c r="C84" s="5">
        <f t="shared" si="6"/>
        <v>2</v>
      </c>
      <c r="D84" s="5">
        <f t="shared" si="7"/>
        <v>12</v>
      </c>
      <c r="E84" s="5" t="str">
        <f t="shared" si="8"/>
        <v>February</v>
      </c>
      <c r="F84" s="6" t="s">
        <v>204</v>
      </c>
      <c r="G84" s="6" t="s">
        <v>205</v>
      </c>
      <c r="H84" s="6" t="s">
        <v>200</v>
      </c>
      <c r="I84" s="6" t="s">
        <v>201</v>
      </c>
      <c r="J84" s="6" t="s">
        <v>150</v>
      </c>
      <c r="K84" s="6" t="s">
        <v>166</v>
      </c>
      <c r="L84" s="6" t="s">
        <v>206</v>
      </c>
      <c r="M84" s="6">
        <v>1</v>
      </c>
      <c r="N84" s="7">
        <v>6750</v>
      </c>
      <c r="O84" s="7">
        <f t="shared" si="9"/>
        <v>6750</v>
      </c>
      <c r="P84" s="6" t="s">
        <v>27</v>
      </c>
      <c r="Q84" s="6" t="s">
        <v>207</v>
      </c>
      <c r="R84" s="4">
        <v>43902</v>
      </c>
      <c r="S84" s="6" t="s">
        <v>29</v>
      </c>
      <c r="T84" s="6" t="s">
        <v>36</v>
      </c>
    </row>
    <row r="85" spans="1:20" x14ac:dyDescent="0.35">
      <c r="A85" s="4">
        <v>43873</v>
      </c>
      <c r="B85" s="5">
        <f t="shared" si="5"/>
        <v>2020</v>
      </c>
      <c r="C85" s="5">
        <f t="shared" si="6"/>
        <v>2</v>
      </c>
      <c r="D85" s="5">
        <f t="shared" si="7"/>
        <v>12</v>
      </c>
      <c r="E85" s="5" t="str">
        <f t="shared" si="8"/>
        <v>February</v>
      </c>
      <c r="F85" s="6" t="s">
        <v>204</v>
      </c>
      <c r="G85" s="6" t="s">
        <v>205</v>
      </c>
      <c r="H85" s="6" t="s">
        <v>44</v>
      </c>
      <c r="I85" s="6" t="s">
        <v>149</v>
      </c>
      <c r="J85" s="6" t="s">
        <v>150</v>
      </c>
      <c r="K85" s="6" t="s">
        <v>151</v>
      </c>
      <c r="L85" s="6" t="s">
        <v>155</v>
      </c>
      <c r="M85" s="6">
        <v>1</v>
      </c>
      <c r="N85" s="7">
        <v>9120</v>
      </c>
      <c r="O85" s="7">
        <f t="shared" si="9"/>
        <v>9120</v>
      </c>
      <c r="P85" s="6" t="s">
        <v>27</v>
      </c>
      <c r="Q85" s="6" t="s">
        <v>207</v>
      </c>
      <c r="R85" s="4">
        <v>43902</v>
      </c>
      <c r="S85" s="6" t="s">
        <v>29</v>
      </c>
      <c r="T85" s="6" t="s">
        <v>36</v>
      </c>
    </row>
    <row r="86" spans="1:20" x14ac:dyDescent="0.35">
      <c r="A86" s="4">
        <v>43842</v>
      </c>
      <c r="B86" s="5">
        <f t="shared" si="5"/>
        <v>2020</v>
      </c>
      <c r="C86" s="5">
        <f t="shared" si="6"/>
        <v>1</v>
      </c>
      <c r="D86" s="5">
        <f t="shared" si="7"/>
        <v>12</v>
      </c>
      <c r="E86" s="5" t="str">
        <f t="shared" si="8"/>
        <v>January</v>
      </c>
      <c r="F86" s="6" t="s">
        <v>208</v>
      </c>
      <c r="G86" s="6" t="s">
        <v>209</v>
      </c>
      <c r="H86" s="6" t="s">
        <v>44</v>
      </c>
      <c r="I86" s="6" t="s">
        <v>149</v>
      </c>
      <c r="J86" s="6" t="s">
        <v>150</v>
      </c>
      <c r="K86" s="6" t="s">
        <v>151</v>
      </c>
      <c r="L86" s="6" t="s">
        <v>152</v>
      </c>
      <c r="M86" s="6">
        <v>1</v>
      </c>
      <c r="N86" s="7">
        <v>11200</v>
      </c>
      <c r="O86" s="7">
        <f t="shared" si="9"/>
        <v>11200</v>
      </c>
      <c r="P86" s="6" t="s">
        <v>27</v>
      </c>
      <c r="Q86" s="6" t="s">
        <v>182</v>
      </c>
      <c r="R86" s="4">
        <v>43902</v>
      </c>
      <c r="S86" s="6" t="s">
        <v>29</v>
      </c>
      <c r="T86" s="6" t="s">
        <v>36</v>
      </c>
    </row>
    <row r="87" spans="1:20" x14ac:dyDescent="0.35">
      <c r="A87" s="4">
        <v>43842</v>
      </c>
      <c r="B87" s="5">
        <f t="shared" si="5"/>
        <v>2020</v>
      </c>
      <c r="C87" s="5">
        <f t="shared" si="6"/>
        <v>1</v>
      </c>
      <c r="D87" s="5">
        <f t="shared" si="7"/>
        <v>12</v>
      </c>
      <c r="E87" s="5" t="str">
        <f t="shared" si="8"/>
        <v>January</v>
      </c>
      <c r="F87" s="6" t="s">
        <v>208</v>
      </c>
      <c r="G87" s="6" t="s">
        <v>209</v>
      </c>
      <c r="H87" s="6" t="s">
        <v>44</v>
      </c>
      <c r="I87" s="6" t="s">
        <v>149</v>
      </c>
      <c r="J87" s="6" t="s">
        <v>150</v>
      </c>
      <c r="K87" s="6" t="s">
        <v>151</v>
      </c>
      <c r="L87" s="6" t="s">
        <v>155</v>
      </c>
      <c r="M87" s="6">
        <v>1</v>
      </c>
      <c r="N87" s="7">
        <v>9120</v>
      </c>
      <c r="O87" s="7">
        <f t="shared" si="9"/>
        <v>9120</v>
      </c>
      <c r="P87" s="6" t="s">
        <v>27</v>
      </c>
      <c r="Q87" s="6" t="s">
        <v>182</v>
      </c>
      <c r="R87" s="4">
        <v>43902</v>
      </c>
      <c r="S87" s="6" t="s">
        <v>29</v>
      </c>
      <c r="T87" s="6" t="s">
        <v>36</v>
      </c>
    </row>
    <row r="88" spans="1:20" x14ac:dyDescent="0.35">
      <c r="A88" s="4">
        <v>43842</v>
      </c>
      <c r="B88" s="5">
        <f t="shared" si="5"/>
        <v>2020</v>
      </c>
      <c r="C88" s="5">
        <f t="shared" si="6"/>
        <v>1</v>
      </c>
      <c r="D88" s="5">
        <f t="shared" si="7"/>
        <v>12</v>
      </c>
      <c r="E88" s="5" t="str">
        <f t="shared" si="8"/>
        <v>January</v>
      </c>
      <c r="F88" s="6" t="s">
        <v>210</v>
      </c>
      <c r="G88" s="6" t="s">
        <v>21</v>
      </c>
      <c r="H88" s="6" t="s">
        <v>164</v>
      </c>
      <c r="I88" s="6" t="s">
        <v>165</v>
      </c>
      <c r="J88" s="6" t="s">
        <v>150</v>
      </c>
      <c r="K88" s="6" t="s">
        <v>166</v>
      </c>
      <c r="L88" s="6" t="s">
        <v>211</v>
      </c>
      <c r="M88" s="6">
        <v>15</v>
      </c>
      <c r="N88" s="7">
        <v>8500</v>
      </c>
      <c r="O88" s="7">
        <f t="shared" si="9"/>
        <v>127500</v>
      </c>
      <c r="P88" s="6" t="s">
        <v>27</v>
      </c>
      <c r="Q88" s="6" t="s">
        <v>52</v>
      </c>
      <c r="R88" s="4">
        <v>43902</v>
      </c>
      <c r="S88" s="6" t="s">
        <v>29</v>
      </c>
      <c r="T88" s="6" t="s">
        <v>30</v>
      </c>
    </row>
    <row r="89" spans="1:20" x14ac:dyDescent="0.35">
      <c r="A89" s="4">
        <v>43873</v>
      </c>
      <c r="B89" s="5">
        <f t="shared" si="5"/>
        <v>2020</v>
      </c>
      <c r="C89" s="5">
        <f t="shared" si="6"/>
        <v>2</v>
      </c>
      <c r="D89" s="5">
        <f t="shared" si="7"/>
        <v>12</v>
      </c>
      <c r="E89" s="5" t="str">
        <f t="shared" si="8"/>
        <v>February</v>
      </c>
      <c r="F89" s="6" t="s">
        <v>212</v>
      </c>
      <c r="G89" s="6" t="s">
        <v>21</v>
      </c>
      <c r="H89" s="6" t="s">
        <v>200</v>
      </c>
      <c r="I89" s="6" t="s">
        <v>201</v>
      </c>
      <c r="J89" s="6" t="s">
        <v>150</v>
      </c>
      <c r="K89" s="6" t="s">
        <v>166</v>
      </c>
      <c r="L89" s="6" t="s">
        <v>213</v>
      </c>
      <c r="M89" s="6">
        <v>10</v>
      </c>
      <c r="N89" s="7">
        <v>8500</v>
      </c>
      <c r="O89" s="7">
        <f t="shared" si="9"/>
        <v>85000</v>
      </c>
      <c r="P89" s="6" t="s">
        <v>27</v>
      </c>
      <c r="Q89" s="6" t="s">
        <v>52</v>
      </c>
      <c r="R89" s="4">
        <v>43902</v>
      </c>
      <c r="S89" s="6" t="s">
        <v>29</v>
      </c>
      <c r="T89" s="6" t="s">
        <v>30</v>
      </c>
    </row>
    <row r="90" spans="1:20" x14ac:dyDescent="0.35">
      <c r="A90" s="4">
        <v>43873</v>
      </c>
      <c r="B90" s="5">
        <f t="shared" si="5"/>
        <v>2020</v>
      </c>
      <c r="C90" s="5">
        <f t="shared" si="6"/>
        <v>2</v>
      </c>
      <c r="D90" s="5">
        <f t="shared" si="7"/>
        <v>12</v>
      </c>
      <c r="E90" s="5" t="str">
        <f t="shared" si="8"/>
        <v>February</v>
      </c>
      <c r="F90" s="6" t="s">
        <v>214</v>
      </c>
      <c r="G90" s="6" t="s">
        <v>21</v>
      </c>
      <c r="H90" s="6" t="s">
        <v>200</v>
      </c>
      <c r="I90" s="6" t="s">
        <v>201</v>
      </c>
      <c r="J90" s="6" t="s">
        <v>150</v>
      </c>
      <c r="K90" s="6" t="s">
        <v>166</v>
      </c>
      <c r="L90" s="6" t="s">
        <v>206</v>
      </c>
      <c r="M90" s="6">
        <v>50</v>
      </c>
      <c r="N90" s="7">
        <v>6750</v>
      </c>
      <c r="O90" s="7">
        <f t="shared" si="9"/>
        <v>337500</v>
      </c>
      <c r="P90" s="6" t="s">
        <v>27</v>
      </c>
      <c r="Q90" s="6" t="s">
        <v>52</v>
      </c>
      <c r="R90" s="4">
        <v>43902</v>
      </c>
      <c r="S90" s="6" t="s">
        <v>29</v>
      </c>
      <c r="T90" s="6" t="s">
        <v>30</v>
      </c>
    </row>
    <row r="91" spans="1:20" x14ac:dyDescent="0.35">
      <c r="A91" s="4">
        <v>43873</v>
      </c>
      <c r="B91" s="5">
        <f t="shared" si="5"/>
        <v>2020</v>
      </c>
      <c r="C91" s="5">
        <f t="shared" si="6"/>
        <v>2</v>
      </c>
      <c r="D91" s="5">
        <f t="shared" si="7"/>
        <v>12</v>
      </c>
      <c r="E91" s="5" t="str">
        <f t="shared" si="8"/>
        <v>February</v>
      </c>
      <c r="F91" s="6" t="s">
        <v>215</v>
      </c>
      <c r="G91" s="6" t="s">
        <v>21</v>
      </c>
      <c r="H91" s="6" t="s">
        <v>200</v>
      </c>
      <c r="I91" s="6" t="s">
        <v>201</v>
      </c>
      <c r="J91" s="6" t="s">
        <v>150</v>
      </c>
      <c r="K91" s="6" t="s">
        <v>166</v>
      </c>
      <c r="L91" s="6" t="s">
        <v>206</v>
      </c>
      <c r="M91" s="6">
        <v>60</v>
      </c>
      <c r="N91" s="7">
        <v>6750</v>
      </c>
      <c r="O91" s="7">
        <f t="shared" si="9"/>
        <v>405000</v>
      </c>
      <c r="P91" s="6" t="s">
        <v>27</v>
      </c>
      <c r="Q91" s="6" t="s">
        <v>52</v>
      </c>
      <c r="R91" s="4">
        <v>43902</v>
      </c>
      <c r="S91" s="6" t="s">
        <v>29</v>
      </c>
      <c r="T91" s="6" t="s">
        <v>30</v>
      </c>
    </row>
    <row r="92" spans="1:20" x14ac:dyDescent="0.35">
      <c r="A92" s="4">
        <v>43873</v>
      </c>
      <c r="B92" s="5">
        <f t="shared" si="5"/>
        <v>2020</v>
      </c>
      <c r="C92" s="5">
        <f t="shared" si="6"/>
        <v>2</v>
      </c>
      <c r="D92" s="5">
        <f t="shared" si="7"/>
        <v>12</v>
      </c>
      <c r="E92" s="5" t="str">
        <f t="shared" si="8"/>
        <v>February</v>
      </c>
      <c r="F92" s="6" t="s">
        <v>216</v>
      </c>
      <c r="G92" s="6" t="s">
        <v>160</v>
      </c>
      <c r="H92" s="6" t="s">
        <v>191</v>
      </c>
      <c r="I92" s="6" t="s">
        <v>192</v>
      </c>
      <c r="J92" s="6" t="s">
        <v>150</v>
      </c>
      <c r="K92" s="6" t="s">
        <v>151</v>
      </c>
      <c r="L92" s="6" t="s">
        <v>193</v>
      </c>
      <c r="M92" s="6">
        <v>5</v>
      </c>
      <c r="N92" s="7">
        <v>9050</v>
      </c>
      <c r="O92" s="7">
        <f t="shared" si="9"/>
        <v>45250</v>
      </c>
      <c r="P92" s="6" t="s">
        <v>27</v>
      </c>
      <c r="Q92" s="6" t="s">
        <v>61</v>
      </c>
      <c r="R92" s="4">
        <v>43902</v>
      </c>
      <c r="S92" s="6" t="s">
        <v>29</v>
      </c>
      <c r="T92" s="6" t="s">
        <v>30</v>
      </c>
    </row>
    <row r="93" spans="1:20" x14ac:dyDescent="0.35">
      <c r="A93" s="4">
        <v>43873</v>
      </c>
      <c r="B93" s="5">
        <f t="shared" si="5"/>
        <v>2020</v>
      </c>
      <c r="C93" s="5">
        <f t="shared" si="6"/>
        <v>2</v>
      </c>
      <c r="D93" s="5">
        <f t="shared" si="7"/>
        <v>12</v>
      </c>
      <c r="E93" s="5" t="str">
        <f t="shared" si="8"/>
        <v>February</v>
      </c>
      <c r="F93" s="6" t="s">
        <v>217</v>
      </c>
      <c r="G93" s="6" t="s">
        <v>160</v>
      </c>
      <c r="H93" s="6" t="s">
        <v>191</v>
      </c>
      <c r="I93" s="6" t="s">
        <v>192</v>
      </c>
      <c r="J93" s="6" t="s">
        <v>150</v>
      </c>
      <c r="K93" s="6" t="s">
        <v>151</v>
      </c>
      <c r="L93" s="6" t="s">
        <v>193</v>
      </c>
      <c r="M93" s="6">
        <v>5</v>
      </c>
      <c r="N93" s="7">
        <v>9050</v>
      </c>
      <c r="O93" s="7">
        <f t="shared" si="9"/>
        <v>45250</v>
      </c>
      <c r="P93" s="6" t="s">
        <v>27</v>
      </c>
      <c r="Q93" s="6" t="s">
        <v>61</v>
      </c>
      <c r="R93" s="4">
        <v>43902</v>
      </c>
      <c r="S93" s="6" t="s">
        <v>29</v>
      </c>
      <c r="T93" s="6" t="s">
        <v>30</v>
      </c>
    </row>
    <row r="94" spans="1:20" x14ac:dyDescent="0.35">
      <c r="A94" s="4">
        <v>43873</v>
      </c>
      <c r="B94" s="5">
        <f t="shared" si="5"/>
        <v>2020</v>
      </c>
      <c r="C94" s="5">
        <f t="shared" si="6"/>
        <v>2</v>
      </c>
      <c r="D94" s="5">
        <f t="shared" si="7"/>
        <v>12</v>
      </c>
      <c r="E94" s="5" t="str">
        <f t="shared" si="8"/>
        <v>February</v>
      </c>
      <c r="F94" s="6" t="s">
        <v>218</v>
      </c>
      <c r="G94" s="6" t="s">
        <v>160</v>
      </c>
      <c r="H94" s="6" t="s">
        <v>44</v>
      </c>
      <c r="I94" s="6" t="s">
        <v>149</v>
      </c>
      <c r="J94" s="6" t="s">
        <v>150</v>
      </c>
      <c r="K94" s="6" t="s">
        <v>151</v>
      </c>
      <c r="L94" s="6" t="s">
        <v>155</v>
      </c>
      <c r="M94" s="6">
        <v>15</v>
      </c>
      <c r="N94" s="7">
        <v>9120</v>
      </c>
      <c r="O94" s="7">
        <f t="shared" si="9"/>
        <v>136800</v>
      </c>
      <c r="P94" s="6" t="s">
        <v>27</v>
      </c>
      <c r="Q94" s="6" t="s">
        <v>61</v>
      </c>
      <c r="R94" s="4">
        <v>43902</v>
      </c>
      <c r="S94" s="6" t="s">
        <v>29</v>
      </c>
      <c r="T94" s="6" t="s">
        <v>30</v>
      </c>
    </row>
    <row r="95" spans="1:20" x14ac:dyDescent="0.35">
      <c r="A95" s="4">
        <v>43842</v>
      </c>
      <c r="B95" s="5">
        <f t="shared" si="5"/>
        <v>2020</v>
      </c>
      <c r="C95" s="5">
        <f t="shared" si="6"/>
        <v>1</v>
      </c>
      <c r="D95" s="5">
        <f t="shared" si="7"/>
        <v>12</v>
      </c>
      <c r="E95" s="5" t="str">
        <f t="shared" si="8"/>
        <v>January</v>
      </c>
      <c r="F95" s="6" t="s">
        <v>54</v>
      </c>
      <c r="G95" s="6" t="s">
        <v>55</v>
      </c>
      <c r="H95" s="6" t="s">
        <v>219</v>
      </c>
      <c r="I95" s="6" t="s">
        <v>220</v>
      </c>
      <c r="J95" s="6" t="s">
        <v>150</v>
      </c>
      <c r="K95" s="6" t="s">
        <v>221</v>
      </c>
      <c r="L95" s="6" t="s">
        <v>222</v>
      </c>
      <c r="M95" s="6">
        <v>5</v>
      </c>
      <c r="N95" s="7">
        <v>4200</v>
      </c>
      <c r="O95" s="7">
        <f t="shared" si="9"/>
        <v>21000</v>
      </c>
      <c r="P95" s="6" t="s">
        <v>27</v>
      </c>
      <c r="Q95" s="6" t="s">
        <v>43</v>
      </c>
      <c r="R95" s="4">
        <v>43902</v>
      </c>
      <c r="S95" s="6" t="s">
        <v>56</v>
      </c>
      <c r="T95" s="6" t="s">
        <v>30</v>
      </c>
    </row>
    <row r="96" spans="1:20" x14ac:dyDescent="0.35">
      <c r="A96" s="4">
        <v>43842</v>
      </c>
      <c r="B96" s="5">
        <f t="shared" si="5"/>
        <v>2020</v>
      </c>
      <c r="C96" s="5">
        <f t="shared" si="6"/>
        <v>1</v>
      </c>
      <c r="D96" s="5">
        <f t="shared" si="7"/>
        <v>12</v>
      </c>
      <c r="E96" s="5" t="str">
        <f t="shared" si="8"/>
        <v>January</v>
      </c>
      <c r="F96" s="6" t="s">
        <v>54</v>
      </c>
      <c r="G96" s="6" t="s">
        <v>55</v>
      </c>
      <c r="H96" s="6" t="s">
        <v>168</v>
      </c>
      <c r="I96" s="6" t="s">
        <v>169</v>
      </c>
      <c r="J96" s="6" t="s">
        <v>150</v>
      </c>
      <c r="K96" s="6" t="s">
        <v>170</v>
      </c>
      <c r="L96" s="6" t="s">
        <v>185</v>
      </c>
      <c r="M96" s="6">
        <v>3</v>
      </c>
      <c r="N96" s="7">
        <v>3000</v>
      </c>
      <c r="O96" s="7">
        <f t="shared" si="9"/>
        <v>9000</v>
      </c>
      <c r="P96" s="6" t="s">
        <v>27</v>
      </c>
      <c r="Q96" s="6" t="s">
        <v>43</v>
      </c>
      <c r="R96" s="4">
        <v>43902</v>
      </c>
      <c r="S96" s="6" t="s">
        <v>56</v>
      </c>
      <c r="T96" s="6" t="s">
        <v>30</v>
      </c>
    </row>
    <row r="97" spans="1:20" x14ac:dyDescent="0.35">
      <c r="A97" s="4">
        <v>43842</v>
      </c>
      <c r="B97" s="5">
        <f t="shared" si="5"/>
        <v>2020</v>
      </c>
      <c r="C97" s="5">
        <f t="shared" si="6"/>
        <v>1</v>
      </c>
      <c r="D97" s="5">
        <f t="shared" si="7"/>
        <v>12</v>
      </c>
      <c r="E97" s="5" t="str">
        <f t="shared" si="8"/>
        <v>January</v>
      </c>
      <c r="F97" s="6" t="s">
        <v>54</v>
      </c>
      <c r="G97" s="6" t="s">
        <v>55</v>
      </c>
      <c r="H97" s="6" t="s">
        <v>168</v>
      </c>
      <c r="I97" s="6" t="s">
        <v>169</v>
      </c>
      <c r="J97" s="6" t="s">
        <v>150</v>
      </c>
      <c r="K97" s="6" t="s">
        <v>170</v>
      </c>
      <c r="L97" s="6" t="s">
        <v>171</v>
      </c>
      <c r="M97" s="6">
        <v>3</v>
      </c>
      <c r="N97" s="7">
        <v>3000</v>
      </c>
      <c r="O97" s="7">
        <f t="shared" si="9"/>
        <v>9000</v>
      </c>
      <c r="P97" s="6" t="s">
        <v>27</v>
      </c>
      <c r="Q97" s="6" t="s">
        <v>43</v>
      </c>
      <c r="R97" s="4">
        <v>43902</v>
      </c>
      <c r="S97" s="6" t="s">
        <v>56</v>
      </c>
      <c r="T97" s="6" t="s">
        <v>30</v>
      </c>
    </row>
    <row r="98" spans="1:20" x14ac:dyDescent="0.35">
      <c r="A98" s="4">
        <v>43842</v>
      </c>
      <c r="B98" s="5">
        <f t="shared" si="5"/>
        <v>2020</v>
      </c>
      <c r="C98" s="5">
        <f t="shared" si="6"/>
        <v>1</v>
      </c>
      <c r="D98" s="5">
        <f t="shared" si="7"/>
        <v>12</v>
      </c>
      <c r="E98" s="5" t="str">
        <f t="shared" si="8"/>
        <v>January</v>
      </c>
      <c r="F98" s="6" t="s">
        <v>223</v>
      </c>
      <c r="G98" s="6" t="s">
        <v>55</v>
      </c>
      <c r="H98" s="6" t="s">
        <v>44</v>
      </c>
      <c r="I98" s="6" t="s">
        <v>149</v>
      </c>
      <c r="J98" s="6" t="s">
        <v>150</v>
      </c>
      <c r="K98" s="6" t="s">
        <v>151</v>
      </c>
      <c r="L98" s="6" t="s">
        <v>190</v>
      </c>
      <c r="M98" s="6">
        <v>5</v>
      </c>
      <c r="N98" s="7">
        <v>10050</v>
      </c>
      <c r="O98" s="7">
        <f t="shared" si="9"/>
        <v>50250</v>
      </c>
      <c r="P98" s="6" t="s">
        <v>27</v>
      </c>
      <c r="Q98" s="6" t="s">
        <v>43</v>
      </c>
      <c r="R98" s="4">
        <v>43902</v>
      </c>
      <c r="S98" s="6" t="s">
        <v>56</v>
      </c>
      <c r="T98" s="6" t="s">
        <v>30</v>
      </c>
    </row>
    <row r="99" spans="1:20" x14ac:dyDescent="0.35">
      <c r="A99" s="4">
        <v>43902</v>
      </c>
      <c r="B99" s="5">
        <f t="shared" si="5"/>
        <v>2020</v>
      </c>
      <c r="C99" s="5">
        <f t="shared" si="6"/>
        <v>3</v>
      </c>
      <c r="D99" s="5">
        <f t="shared" si="7"/>
        <v>12</v>
      </c>
      <c r="E99" s="5" t="str">
        <f t="shared" si="8"/>
        <v>March</v>
      </c>
      <c r="F99" s="6" t="s">
        <v>224</v>
      </c>
      <c r="G99" s="6" t="s">
        <v>225</v>
      </c>
      <c r="H99" s="6" t="s">
        <v>200</v>
      </c>
      <c r="I99" s="6" t="s">
        <v>201</v>
      </c>
      <c r="J99" s="6" t="s">
        <v>150</v>
      </c>
      <c r="K99" s="6" t="s">
        <v>166</v>
      </c>
      <c r="L99" s="6" t="s">
        <v>206</v>
      </c>
      <c r="M99" s="6">
        <v>5</v>
      </c>
      <c r="N99" s="7">
        <v>6750</v>
      </c>
      <c r="O99" s="7">
        <f t="shared" si="9"/>
        <v>33750</v>
      </c>
      <c r="P99" s="6" t="s">
        <v>27</v>
      </c>
      <c r="Q99" s="6" t="s">
        <v>94</v>
      </c>
      <c r="R99" s="4">
        <v>43933</v>
      </c>
      <c r="S99" s="6" t="s">
        <v>29</v>
      </c>
      <c r="T99" s="6" t="s">
        <v>36</v>
      </c>
    </row>
    <row r="100" spans="1:20" x14ac:dyDescent="0.35">
      <c r="A100" s="4">
        <v>43902</v>
      </c>
      <c r="B100" s="5">
        <f t="shared" si="5"/>
        <v>2020</v>
      </c>
      <c r="C100" s="5">
        <f t="shared" si="6"/>
        <v>3</v>
      </c>
      <c r="D100" s="5">
        <f t="shared" si="7"/>
        <v>12</v>
      </c>
      <c r="E100" s="5" t="str">
        <f t="shared" si="8"/>
        <v>March</v>
      </c>
      <c r="F100" s="6" t="s">
        <v>226</v>
      </c>
      <c r="G100" s="6" t="s">
        <v>227</v>
      </c>
      <c r="H100" s="6" t="s">
        <v>164</v>
      </c>
      <c r="I100" s="6" t="s">
        <v>165</v>
      </c>
      <c r="J100" s="6" t="s">
        <v>150</v>
      </c>
      <c r="K100" s="6" t="s">
        <v>166</v>
      </c>
      <c r="L100" s="6" t="s">
        <v>167</v>
      </c>
      <c r="M100" s="6">
        <v>1</v>
      </c>
      <c r="N100" s="7">
        <v>7800</v>
      </c>
      <c r="O100" s="7">
        <f t="shared" si="9"/>
        <v>7800</v>
      </c>
      <c r="P100" s="6" t="s">
        <v>27</v>
      </c>
      <c r="Q100" s="6" t="s">
        <v>228</v>
      </c>
      <c r="R100" s="4">
        <v>43933</v>
      </c>
      <c r="S100" s="6" t="s">
        <v>29</v>
      </c>
      <c r="T100" s="6" t="s">
        <v>36</v>
      </c>
    </row>
    <row r="101" spans="1:20" x14ac:dyDescent="0.35">
      <c r="A101" s="4">
        <v>43902</v>
      </c>
      <c r="B101" s="5">
        <f t="shared" si="5"/>
        <v>2020</v>
      </c>
      <c r="C101" s="5">
        <f t="shared" si="6"/>
        <v>3</v>
      </c>
      <c r="D101" s="5">
        <f t="shared" si="7"/>
        <v>12</v>
      </c>
      <c r="E101" s="5" t="str">
        <f t="shared" si="8"/>
        <v>March</v>
      </c>
      <c r="F101" s="6" t="s">
        <v>226</v>
      </c>
      <c r="G101" s="6" t="s">
        <v>227</v>
      </c>
      <c r="H101" s="6" t="s">
        <v>200</v>
      </c>
      <c r="I101" s="6" t="s">
        <v>201</v>
      </c>
      <c r="J101" s="6" t="s">
        <v>150</v>
      </c>
      <c r="K101" s="6" t="s">
        <v>166</v>
      </c>
      <c r="L101" s="6" t="s">
        <v>206</v>
      </c>
      <c r="M101" s="6">
        <v>1</v>
      </c>
      <c r="N101" s="7">
        <v>6750</v>
      </c>
      <c r="O101" s="7">
        <f t="shared" si="9"/>
        <v>6750</v>
      </c>
      <c r="P101" s="6" t="s">
        <v>27</v>
      </c>
      <c r="Q101" s="6" t="s">
        <v>228</v>
      </c>
      <c r="R101" s="4">
        <v>43933</v>
      </c>
      <c r="S101" s="6" t="s">
        <v>29</v>
      </c>
      <c r="T101" s="6" t="s">
        <v>36</v>
      </c>
    </row>
    <row r="102" spans="1:20" x14ac:dyDescent="0.35">
      <c r="A102" s="4">
        <v>43902</v>
      </c>
      <c r="B102" s="5">
        <f t="shared" si="5"/>
        <v>2020</v>
      </c>
      <c r="C102" s="5">
        <f t="shared" si="6"/>
        <v>3</v>
      </c>
      <c r="D102" s="5">
        <f t="shared" si="7"/>
        <v>12</v>
      </c>
      <c r="E102" s="5" t="str">
        <f t="shared" si="8"/>
        <v>March</v>
      </c>
      <c r="F102" s="6" t="s">
        <v>229</v>
      </c>
      <c r="G102" s="6" t="s">
        <v>230</v>
      </c>
      <c r="H102" s="6" t="s">
        <v>200</v>
      </c>
      <c r="I102" s="6" t="s">
        <v>201</v>
      </c>
      <c r="J102" s="6" t="s">
        <v>150</v>
      </c>
      <c r="K102" s="6" t="s">
        <v>166</v>
      </c>
      <c r="L102" s="6" t="s">
        <v>206</v>
      </c>
      <c r="M102" s="6">
        <v>4</v>
      </c>
      <c r="N102" s="7">
        <v>6750</v>
      </c>
      <c r="O102" s="7">
        <f t="shared" si="9"/>
        <v>27000</v>
      </c>
      <c r="P102" s="6" t="s">
        <v>27</v>
      </c>
      <c r="Q102" s="6" t="s">
        <v>207</v>
      </c>
      <c r="R102" s="4">
        <v>43933</v>
      </c>
      <c r="S102" s="6" t="s">
        <v>85</v>
      </c>
      <c r="T102" s="6" t="s">
        <v>30</v>
      </c>
    </row>
    <row r="103" spans="1:20" x14ac:dyDescent="0.35">
      <c r="A103" s="4">
        <v>43902</v>
      </c>
      <c r="B103" s="5">
        <f t="shared" si="5"/>
        <v>2020</v>
      </c>
      <c r="C103" s="5">
        <f t="shared" si="6"/>
        <v>3</v>
      </c>
      <c r="D103" s="5">
        <f t="shared" si="7"/>
        <v>12</v>
      </c>
      <c r="E103" s="5" t="str">
        <f t="shared" si="8"/>
        <v>March</v>
      </c>
      <c r="F103" s="6" t="s">
        <v>229</v>
      </c>
      <c r="G103" s="6" t="s">
        <v>230</v>
      </c>
      <c r="H103" s="6" t="s">
        <v>191</v>
      </c>
      <c r="I103" s="6" t="s">
        <v>192</v>
      </c>
      <c r="J103" s="6" t="s">
        <v>150</v>
      </c>
      <c r="K103" s="6" t="s">
        <v>151</v>
      </c>
      <c r="L103" s="6" t="s">
        <v>193</v>
      </c>
      <c r="M103" s="6">
        <v>1</v>
      </c>
      <c r="N103" s="7">
        <v>9050</v>
      </c>
      <c r="O103" s="7">
        <f t="shared" si="9"/>
        <v>9050</v>
      </c>
      <c r="P103" s="6" t="s">
        <v>27</v>
      </c>
      <c r="Q103" s="6" t="s">
        <v>207</v>
      </c>
      <c r="R103" s="4">
        <v>43933</v>
      </c>
      <c r="S103" s="6" t="s">
        <v>85</v>
      </c>
      <c r="T103" s="6" t="s">
        <v>30</v>
      </c>
    </row>
    <row r="104" spans="1:20" x14ac:dyDescent="0.35">
      <c r="A104" s="4">
        <v>43902</v>
      </c>
      <c r="B104" s="5">
        <f t="shared" si="5"/>
        <v>2020</v>
      </c>
      <c r="C104" s="5">
        <f t="shared" si="6"/>
        <v>3</v>
      </c>
      <c r="D104" s="5">
        <f t="shared" si="7"/>
        <v>12</v>
      </c>
      <c r="E104" s="5" t="str">
        <f t="shared" si="8"/>
        <v>March</v>
      </c>
      <c r="F104" s="6" t="s">
        <v>231</v>
      </c>
      <c r="G104" s="6" t="s">
        <v>232</v>
      </c>
      <c r="H104" s="6" t="s">
        <v>44</v>
      </c>
      <c r="I104" s="6" t="s">
        <v>149</v>
      </c>
      <c r="J104" s="6" t="s">
        <v>150</v>
      </c>
      <c r="K104" s="6" t="s">
        <v>151</v>
      </c>
      <c r="L104" s="6" t="s">
        <v>152</v>
      </c>
      <c r="M104" s="6">
        <v>1</v>
      </c>
      <c r="N104" s="7">
        <v>11200</v>
      </c>
      <c r="O104" s="7">
        <f t="shared" si="9"/>
        <v>11200</v>
      </c>
      <c r="P104" s="6" t="s">
        <v>27</v>
      </c>
      <c r="Q104" s="6" t="s">
        <v>233</v>
      </c>
      <c r="R104" s="4">
        <v>43933</v>
      </c>
      <c r="S104" s="6" t="s">
        <v>29</v>
      </c>
      <c r="T104" s="6" t="s">
        <v>65</v>
      </c>
    </row>
    <row r="105" spans="1:20" x14ac:dyDescent="0.35">
      <c r="A105" s="4">
        <v>43902</v>
      </c>
      <c r="B105" s="5">
        <f t="shared" si="5"/>
        <v>2020</v>
      </c>
      <c r="C105" s="5">
        <f t="shared" si="6"/>
        <v>3</v>
      </c>
      <c r="D105" s="5">
        <f t="shared" si="7"/>
        <v>12</v>
      </c>
      <c r="E105" s="5" t="str">
        <f t="shared" si="8"/>
        <v>March</v>
      </c>
      <c r="F105" s="6" t="s">
        <v>231</v>
      </c>
      <c r="G105" s="6" t="s">
        <v>232</v>
      </c>
      <c r="H105" s="6" t="s">
        <v>200</v>
      </c>
      <c r="I105" s="6" t="s">
        <v>201</v>
      </c>
      <c r="J105" s="6" t="s">
        <v>150</v>
      </c>
      <c r="K105" s="6" t="s">
        <v>166</v>
      </c>
      <c r="L105" s="6" t="s">
        <v>213</v>
      </c>
      <c r="M105" s="6">
        <v>1</v>
      </c>
      <c r="N105" s="7">
        <v>8500</v>
      </c>
      <c r="O105" s="7">
        <f t="shared" si="9"/>
        <v>8500</v>
      </c>
      <c r="P105" s="6" t="s">
        <v>27</v>
      </c>
      <c r="Q105" s="6" t="s">
        <v>233</v>
      </c>
      <c r="R105" s="4">
        <v>43933</v>
      </c>
      <c r="S105" s="6" t="s">
        <v>29</v>
      </c>
      <c r="T105" s="6" t="s">
        <v>65</v>
      </c>
    </row>
    <row r="106" spans="1:20" x14ac:dyDescent="0.35">
      <c r="A106" s="4">
        <v>43902</v>
      </c>
      <c r="B106" s="5">
        <f t="shared" si="5"/>
        <v>2020</v>
      </c>
      <c r="C106" s="5">
        <f t="shared" si="6"/>
        <v>3</v>
      </c>
      <c r="D106" s="5">
        <f t="shared" si="7"/>
        <v>12</v>
      </c>
      <c r="E106" s="5" t="str">
        <f t="shared" si="8"/>
        <v>March</v>
      </c>
      <c r="F106" s="6" t="s">
        <v>234</v>
      </c>
      <c r="G106" s="6" t="s">
        <v>235</v>
      </c>
      <c r="H106" s="6" t="s">
        <v>44</v>
      </c>
      <c r="I106" s="6" t="s">
        <v>149</v>
      </c>
      <c r="J106" s="6" t="s">
        <v>150</v>
      </c>
      <c r="K106" s="6" t="s">
        <v>151</v>
      </c>
      <c r="L106" s="6" t="s">
        <v>152</v>
      </c>
      <c r="M106" s="6">
        <v>1</v>
      </c>
      <c r="N106" s="7">
        <v>11200</v>
      </c>
      <c r="O106" s="7">
        <f t="shared" si="9"/>
        <v>11200</v>
      </c>
      <c r="P106" s="6" t="s">
        <v>27</v>
      </c>
      <c r="Q106" s="6" t="s">
        <v>136</v>
      </c>
      <c r="R106" s="4">
        <v>43933</v>
      </c>
      <c r="S106" s="6" t="s">
        <v>29</v>
      </c>
      <c r="T106" s="6" t="s">
        <v>65</v>
      </c>
    </row>
    <row r="107" spans="1:20" x14ac:dyDescent="0.35">
      <c r="A107" s="4">
        <v>43902</v>
      </c>
      <c r="B107" s="5">
        <f t="shared" si="5"/>
        <v>2020</v>
      </c>
      <c r="C107" s="5">
        <f t="shared" si="6"/>
        <v>3</v>
      </c>
      <c r="D107" s="5">
        <f t="shared" si="7"/>
        <v>12</v>
      </c>
      <c r="E107" s="5" t="str">
        <f t="shared" si="8"/>
        <v>March</v>
      </c>
      <c r="F107" s="6" t="s">
        <v>234</v>
      </c>
      <c r="G107" s="6" t="s">
        <v>235</v>
      </c>
      <c r="H107" s="6" t="s">
        <v>164</v>
      </c>
      <c r="I107" s="6" t="s">
        <v>195</v>
      </c>
      <c r="J107" s="6" t="s">
        <v>150</v>
      </c>
      <c r="K107" s="6" t="s">
        <v>166</v>
      </c>
      <c r="L107" s="6" t="s">
        <v>196</v>
      </c>
      <c r="M107" s="6">
        <v>1</v>
      </c>
      <c r="N107" s="7">
        <v>11000</v>
      </c>
      <c r="O107" s="7">
        <f t="shared" si="9"/>
        <v>11000</v>
      </c>
      <c r="P107" s="6" t="s">
        <v>27</v>
      </c>
      <c r="Q107" s="6" t="s">
        <v>136</v>
      </c>
      <c r="R107" s="4">
        <v>43933</v>
      </c>
      <c r="S107" s="6" t="s">
        <v>29</v>
      </c>
      <c r="T107" s="6" t="s">
        <v>65</v>
      </c>
    </row>
    <row r="108" spans="1:20" x14ac:dyDescent="0.35">
      <c r="A108" s="4">
        <v>43902</v>
      </c>
      <c r="B108" s="5">
        <f t="shared" si="5"/>
        <v>2020</v>
      </c>
      <c r="C108" s="5">
        <f t="shared" si="6"/>
        <v>3</v>
      </c>
      <c r="D108" s="5">
        <f t="shared" si="7"/>
        <v>12</v>
      </c>
      <c r="E108" s="5" t="str">
        <f t="shared" si="8"/>
        <v>March</v>
      </c>
      <c r="F108" s="6" t="s">
        <v>234</v>
      </c>
      <c r="G108" s="6" t="s">
        <v>235</v>
      </c>
      <c r="H108" s="6" t="s">
        <v>200</v>
      </c>
      <c r="I108" s="6" t="s">
        <v>201</v>
      </c>
      <c r="J108" s="6" t="s">
        <v>150</v>
      </c>
      <c r="K108" s="6" t="s">
        <v>166</v>
      </c>
      <c r="L108" s="6" t="s">
        <v>213</v>
      </c>
      <c r="M108" s="6">
        <v>1</v>
      </c>
      <c r="N108" s="7">
        <v>8500</v>
      </c>
      <c r="O108" s="7">
        <f t="shared" si="9"/>
        <v>8500</v>
      </c>
      <c r="P108" s="6" t="s">
        <v>27</v>
      </c>
      <c r="Q108" s="6" t="s">
        <v>136</v>
      </c>
      <c r="R108" s="4">
        <v>43933</v>
      </c>
      <c r="S108" s="6" t="s">
        <v>29</v>
      </c>
      <c r="T108" s="6" t="s">
        <v>65</v>
      </c>
    </row>
    <row r="109" spans="1:20" x14ac:dyDescent="0.35">
      <c r="A109" s="4">
        <v>43902</v>
      </c>
      <c r="B109" s="5">
        <f t="shared" si="5"/>
        <v>2020</v>
      </c>
      <c r="C109" s="5">
        <f t="shared" si="6"/>
        <v>3</v>
      </c>
      <c r="D109" s="5">
        <f t="shared" si="7"/>
        <v>12</v>
      </c>
      <c r="E109" s="5" t="str">
        <f t="shared" si="8"/>
        <v>March</v>
      </c>
      <c r="F109" s="6" t="s">
        <v>236</v>
      </c>
      <c r="G109" s="6" t="s">
        <v>237</v>
      </c>
      <c r="H109" s="6" t="s">
        <v>200</v>
      </c>
      <c r="I109" s="6" t="s">
        <v>201</v>
      </c>
      <c r="J109" s="6" t="s">
        <v>150</v>
      </c>
      <c r="K109" s="6" t="s">
        <v>166</v>
      </c>
      <c r="L109" s="6" t="s">
        <v>213</v>
      </c>
      <c r="M109" s="6">
        <v>1</v>
      </c>
      <c r="N109" s="7">
        <v>8500</v>
      </c>
      <c r="O109" s="7">
        <f t="shared" si="9"/>
        <v>8500</v>
      </c>
      <c r="P109" s="6" t="s">
        <v>27</v>
      </c>
      <c r="Q109" s="6" t="s">
        <v>238</v>
      </c>
      <c r="R109" s="4">
        <v>43933</v>
      </c>
      <c r="S109" s="6" t="s">
        <v>29</v>
      </c>
      <c r="T109" s="6" t="s">
        <v>65</v>
      </c>
    </row>
    <row r="110" spans="1:20" x14ac:dyDescent="0.35">
      <c r="A110" s="4">
        <v>43902</v>
      </c>
      <c r="B110" s="5">
        <f t="shared" si="5"/>
        <v>2020</v>
      </c>
      <c r="C110" s="5">
        <f t="shared" si="6"/>
        <v>3</v>
      </c>
      <c r="D110" s="5">
        <f t="shared" si="7"/>
        <v>12</v>
      </c>
      <c r="E110" s="5" t="str">
        <f t="shared" si="8"/>
        <v>March</v>
      </c>
      <c r="F110" s="6" t="s">
        <v>236</v>
      </c>
      <c r="G110" s="6" t="s">
        <v>237</v>
      </c>
      <c r="H110" s="6" t="s">
        <v>164</v>
      </c>
      <c r="I110" s="6" t="s">
        <v>165</v>
      </c>
      <c r="J110" s="6" t="s">
        <v>150</v>
      </c>
      <c r="K110" s="6" t="s">
        <v>166</v>
      </c>
      <c r="L110" s="6" t="s">
        <v>167</v>
      </c>
      <c r="M110" s="6">
        <v>1</v>
      </c>
      <c r="N110" s="7">
        <v>7800</v>
      </c>
      <c r="O110" s="7">
        <f t="shared" si="9"/>
        <v>7800</v>
      </c>
      <c r="P110" s="6" t="s">
        <v>27</v>
      </c>
      <c r="Q110" s="6" t="s">
        <v>238</v>
      </c>
      <c r="R110" s="4">
        <v>43933</v>
      </c>
      <c r="S110" s="6" t="s">
        <v>29</v>
      </c>
      <c r="T110" s="6" t="s">
        <v>65</v>
      </c>
    </row>
    <row r="111" spans="1:20" x14ac:dyDescent="0.35">
      <c r="A111" s="4">
        <v>43902</v>
      </c>
      <c r="B111" s="5">
        <f t="shared" si="5"/>
        <v>2020</v>
      </c>
      <c r="C111" s="5">
        <f t="shared" si="6"/>
        <v>3</v>
      </c>
      <c r="D111" s="5">
        <f t="shared" si="7"/>
        <v>12</v>
      </c>
      <c r="E111" s="5" t="str">
        <f t="shared" si="8"/>
        <v>March</v>
      </c>
      <c r="F111" s="6" t="s">
        <v>236</v>
      </c>
      <c r="G111" s="6" t="s">
        <v>237</v>
      </c>
      <c r="H111" s="6" t="s">
        <v>164</v>
      </c>
      <c r="I111" s="6" t="s">
        <v>165</v>
      </c>
      <c r="J111" s="6" t="s">
        <v>150</v>
      </c>
      <c r="K111" s="6" t="s">
        <v>166</v>
      </c>
      <c r="L111" s="6" t="s">
        <v>239</v>
      </c>
      <c r="M111" s="6">
        <v>1</v>
      </c>
      <c r="N111" s="7">
        <v>6350</v>
      </c>
      <c r="O111" s="7">
        <f t="shared" si="9"/>
        <v>6350</v>
      </c>
      <c r="P111" s="6" t="s">
        <v>27</v>
      </c>
      <c r="Q111" s="6" t="s">
        <v>238</v>
      </c>
      <c r="R111" s="4">
        <v>43933</v>
      </c>
      <c r="S111" s="6" t="s">
        <v>29</v>
      </c>
      <c r="T111" s="6" t="s">
        <v>65</v>
      </c>
    </row>
    <row r="112" spans="1:20" x14ac:dyDescent="0.35">
      <c r="A112" s="4">
        <v>43902</v>
      </c>
      <c r="B112" s="5">
        <f t="shared" si="5"/>
        <v>2020</v>
      </c>
      <c r="C112" s="5">
        <f t="shared" si="6"/>
        <v>3</v>
      </c>
      <c r="D112" s="5">
        <f t="shared" si="7"/>
        <v>12</v>
      </c>
      <c r="E112" s="5" t="str">
        <f t="shared" si="8"/>
        <v>March</v>
      </c>
      <c r="F112" s="6" t="s">
        <v>236</v>
      </c>
      <c r="G112" s="6" t="s">
        <v>237</v>
      </c>
      <c r="H112" s="6" t="s">
        <v>176</v>
      </c>
      <c r="I112" s="6" t="s">
        <v>177</v>
      </c>
      <c r="J112" s="6" t="s">
        <v>150</v>
      </c>
      <c r="K112" s="6" t="s">
        <v>157</v>
      </c>
      <c r="L112" s="6" t="s">
        <v>178</v>
      </c>
      <c r="M112" s="6">
        <v>1</v>
      </c>
      <c r="N112" s="7">
        <v>2000</v>
      </c>
      <c r="O112" s="7">
        <f t="shared" si="9"/>
        <v>2000</v>
      </c>
      <c r="P112" s="6" t="s">
        <v>27</v>
      </c>
      <c r="Q112" s="6" t="s">
        <v>238</v>
      </c>
      <c r="R112" s="4">
        <v>43933</v>
      </c>
      <c r="S112" s="6" t="s">
        <v>29</v>
      </c>
      <c r="T112" s="6" t="s">
        <v>65</v>
      </c>
    </row>
    <row r="113" spans="1:20" x14ac:dyDescent="0.35">
      <c r="A113" s="4">
        <v>43902</v>
      </c>
      <c r="B113" s="5">
        <f t="shared" si="5"/>
        <v>2020</v>
      </c>
      <c r="C113" s="5">
        <f t="shared" si="6"/>
        <v>3</v>
      </c>
      <c r="D113" s="5">
        <f t="shared" si="7"/>
        <v>12</v>
      </c>
      <c r="E113" s="5" t="str">
        <f t="shared" si="8"/>
        <v>March</v>
      </c>
      <c r="F113" s="6" t="s">
        <v>236</v>
      </c>
      <c r="G113" s="6" t="s">
        <v>237</v>
      </c>
      <c r="H113" s="6" t="s">
        <v>39</v>
      </c>
      <c r="I113" s="6" t="s">
        <v>172</v>
      </c>
      <c r="J113" s="6" t="s">
        <v>150</v>
      </c>
      <c r="K113" s="6" t="s">
        <v>166</v>
      </c>
      <c r="L113" s="6" t="s">
        <v>187</v>
      </c>
      <c r="M113" s="6">
        <v>2</v>
      </c>
      <c r="N113" s="7">
        <v>4550</v>
      </c>
      <c r="O113" s="7">
        <f t="shared" si="9"/>
        <v>9100</v>
      </c>
      <c r="P113" s="6" t="s">
        <v>27</v>
      </c>
      <c r="Q113" s="6" t="s">
        <v>238</v>
      </c>
      <c r="R113" s="4">
        <v>43933</v>
      </c>
      <c r="S113" s="6" t="s">
        <v>29</v>
      </c>
      <c r="T113" s="6" t="s">
        <v>65</v>
      </c>
    </row>
    <row r="114" spans="1:20" x14ac:dyDescent="0.35">
      <c r="A114" s="4">
        <v>43902</v>
      </c>
      <c r="B114" s="5">
        <f t="shared" si="5"/>
        <v>2020</v>
      </c>
      <c r="C114" s="5">
        <f t="shared" si="6"/>
        <v>3</v>
      </c>
      <c r="D114" s="5">
        <f t="shared" si="7"/>
        <v>12</v>
      </c>
      <c r="E114" s="5" t="str">
        <f t="shared" si="8"/>
        <v>March</v>
      </c>
      <c r="F114" s="6" t="s">
        <v>236</v>
      </c>
      <c r="G114" s="6" t="s">
        <v>237</v>
      </c>
      <c r="H114" s="6" t="s">
        <v>240</v>
      </c>
      <c r="I114" s="6" t="s">
        <v>241</v>
      </c>
      <c r="J114" s="6" t="s">
        <v>150</v>
      </c>
      <c r="K114" s="6" t="s">
        <v>242</v>
      </c>
      <c r="L114" s="6" t="s">
        <v>243</v>
      </c>
      <c r="M114" s="6">
        <v>1</v>
      </c>
      <c r="N114" s="7">
        <v>14900</v>
      </c>
      <c r="O114" s="7">
        <f t="shared" si="9"/>
        <v>14900</v>
      </c>
      <c r="P114" s="6" t="s">
        <v>27</v>
      </c>
      <c r="Q114" s="6" t="s">
        <v>238</v>
      </c>
      <c r="R114" s="4">
        <v>43933</v>
      </c>
      <c r="S114" s="6" t="s">
        <v>29</v>
      </c>
      <c r="T114" s="6" t="s">
        <v>65</v>
      </c>
    </row>
    <row r="115" spans="1:20" x14ac:dyDescent="0.35">
      <c r="A115" s="4">
        <v>43902</v>
      </c>
      <c r="B115" s="5">
        <f t="shared" si="5"/>
        <v>2020</v>
      </c>
      <c r="C115" s="5">
        <f t="shared" si="6"/>
        <v>3</v>
      </c>
      <c r="D115" s="5">
        <f t="shared" si="7"/>
        <v>12</v>
      </c>
      <c r="E115" s="5" t="str">
        <f t="shared" si="8"/>
        <v>March</v>
      </c>
      <c r="F115" s="6" t="s">
        <v>244</v>
      </c>
      <c r="G115" s="6" t="s">
        <v>237</v>
      </c>
      <c r="H115" s="6" t="s">
        <v>44</v>
      </c>
      <c r="I115" s="6" t="s">
        <v>149</v>
      </c>
      <c r="J115" s="6" t="s">
        <v>150</v>
      </c>
      <c r="K115" s="6" t="s">
        <v>151</v>
      </c>
      <c r="L115" s="6" t="s">
        <v>155</v>
      </c>
      <c r="M115" s="6">
        <v>3</v>
      </c>
      <c r="N115" s="7">
        <v>9120</v>
      </c>
      <c r="O115" s="7">
        <f t="shared" si="9"/>
        <v>27360</v>
      </c>
      <c r="P115" s="6" t="s">
        <v>27</v>
      </c>
      <c r="Q115" s="6" t="s">
        <v>238</v>
      </c>
      <c r="R115" s="4">
        <v>43933</v>
      </c>
      <c r="S115" s="6" t="s">
        <v>29</v>
      </c>
      <c r="T115" s="6" t="s">
        <v>36</v>
      </c>
    </row>
    <row r="116" spans="1:20" x14ac:dyDescent="0.35">
      <c r="A116" s="4">
        <v>43902</v>
      </c>
      <c r="B116" s="5">
        <f t="shared" si="5"/>
        <v>2020</v>
      </c>
      <c r="C116" s="5">
        <f t="shared" si="6"/>
        <v>3</v>
      </c>
      <c r="D116" s="5">
        <f t="shared" si="7"/>
        <v>12</v>
      </c>
      <c r="E116" s="5" t="str">
        <f t="shared" si="8"/>
        <v>March</v>
      </c>
      <c r="F116" s="6" t="s">
        <v>245</v>
      </c>
      <c r="G116" s="6" t="s">
        <v>237</v>
      </c>
      <c r="H116" s="6" t="s">
        <v>168</v>
      </c>
      <c r="I116" s="6" t="s">
        <v>169</v>
      </c>
      <c r="J116" s="6" t="s">
        <v>150</v>
      </c>
      <c r="K116" s="6" t="s">
        <v>170</v>
      </c>
      <c r="L116" s="6" t="s">
        <v>185</v>
      </c>
      <c r="M116" s="6">
        <v>1</v>
      </c>
      <c r="N116" s="7">
        <v>3000</v>
      </c>
      <c r="O116" s="7">
        <f t="shared" si="9"/>
        <v>3000</v>
      </c>
      <c r="P116" s="6" t="s">
        <v>27</v>
      </c>
      <c r="Q116" s="6" t="s">
        <v>238</v>
      </c>
      <c r="R116" s="4">
        <v>43933</v>
      </c>
      <c r="S116" s="6" t="s">
        <v>29</v>
      </c>
      <c r="T116" s="6" t="s">
        <v>36</v>
      </c>
    </row>
    <row r="117" spans="1:20" x14ac:dyDescent="0.35">
      <c r="A117" s="4">
        <v>43902</v>
      </c>
      <c r="B117" s="5">
        <f t="shared" si="5"/>
        <v>2020</v>
      </c>
      <c r="C117" s="5">
        <f t="shared" si="6"/>
        <v>3</v>
      </c>
      <c r="D117" s="5">
        <f t="shared" si="7"/>
        <v>12</v>
      </c>
      <c r="E117" s="5" t="str">
        <f t="shared" si="8"/>
        <v>March</v>
      </c>
      <c r="F117" s="6" t="s">
        <v>245</v>
      </c>
      <c r="G117" s="6" t="s">
        <v>237</v>
      </c>
      <c r="H117" s="6" t="s">
        <v>176</v>
      </c>
      <c r="I117" s="6" t="s">
        <v>177</v>
      </c>
      <c r="J117" s="6" t="s">
        <v>150</v>
      </c>
      <c r="K117" s="6" t="s">
        <v>157</v>
      </c>
      <c r="L117" s="6" t="s">
        <v>178</v>
      </c>
      <c r="M117" s="6">
        <v>1</v>
      </c>
      <c r="N117" s="7">
        <v>2000</v>
      </c>
      <c r="O117" s="7">
        <f t="shared" si="9"/>
        <v>2000</v>
      </c>
      <c r="P117" s="6" t="s">
        <v>27</v>
      </c>
      <c r="Q117" s="6" t="s">
        <v>238</v>
      </c>
      <c r="R117" s="4">
        <v>43933</v>
      </c>
      <c r="S117" s="6" t="s">
        <v>29</v>
      </c>
      <c r="T117" s="6" t="s">
        <v>36</v>
      </c>
    </row>
    <row r="118" spans="1:20" x14ac:dyDescent="0.35">
      <c r="A118" s="4">
        <v>43902</v>
      </c>
      <c r="B118" s="5">
        <f t="shared" si="5"/>
        <v>2020</v>
      </c>
      <c r="C118" s="5">
        <f t="shared" si="6"/>
        <v>3</v>
      </c>
      <c r="D118" s="5">
        <f t="shared" si="7"/>
        <v>12</v>
      </c>
      <c r="E118" s="5" t="str">
        <f t="shared" si="8"/>
        <v>March</v>
      </c>
      <c r="F118" s="6" t="s">
        <v>246</v>
      </c>
      <c r="G118" s="6" t="s">
        <v>21</v>
      </c>
      <c r="H118" s="6" t="s">
        <v>44</v>
      </c>
      <c r="I118" s="6" t="s">
        <v>156</v>
      </c>
      <c r="J118" s="6" t="s">
        <v>150</v>
      </c>
      <c r="K118" s="6" t="s">
        <v>157</v>
      </c>
      <c r="L118" s="6" t="s">
        <v>247</v>
      </c>
      <c r="M118" s="6">
        <v>10</v>
      </c>
      <c r="N118" s="7">
        <v>7050</v>
      </c>
      <c r="O118" s="7">
        <f t="shared" si="9"/>
        <v>70500</v>
      </c>
      <c r="P118" s="6" t="s">
        <v>27</v>
      </c>
      <c r="Q118" s="6" t="s">
        <v>28</v>
      </c>
      <c r="R118" s="4">
        <v>43933</v>
      </c>
      <c r="S118" s="6" t="s">
        <v>29</v>
      </c>
      <c r="T118" s="6" t="s">
        <v>30</v>
      </c>
    </row>
    <row r="119" spans="1:20" x14ac:dyDescent="0.35">
      <c r="A119" s="4">
        <v>43902</v>
      </c>
      <c r="B119" s="5">
        <f t="shared" si="5"/>
        <v>2020</v>
      </c>
      <c r="C119" s="5">
        <f t="shared" si="6"/>
        <v>3</v>
      </c>
      <c r="D119" s="5">
        <f t="shared" si="7"/>
        <v>12</v>
      </c>
      <c r="E119" s="5" t="str">
        <f t="shared" si="8"/>
        <v>March</v>
      </c>
      <c r="F119" s="6" t="s">
        <v>248</v>
      </c>
      <c r="G119" s="6" t="s">
        <v>21</v>
      </c>
      <c r="H119" s="6" t="s">
        <v>44</v>
      </c>
      <c r="I119" s="6" t="s">
        <v>149</v>
      </c>
      <c r="J119" s="6" t="s">
        <v>150</v>
      </c>
      <c r="K119" s="6" t="s">
        <v>151</v>
      </c>
      <c r="L119" s="6" t="s">
        <v>152</v>
      </c>
      <c r="M119" s="6">
        <v>5</v>
      </c>
      <c r="N119" s="7">
        <v>11200</v>
      </c>
      <c r="O119" s="7">
        <f t="shared" si="9"/>
        <v>56000</v>
      </c>
      <c r="P119" s="6" t="s">
        <v>27</v>
      </c>
      <c r="Q119" s="6" t="s">
        <v>28</v>
      </c>
      <c r="R119" s="4">
        <v>43933</v>
      </c>
      <c r="S119" s="6" t="s">
        <v>29</v>
      </c>
      <c r="T119" s="6" t="s">
        <v>30</v>
      </c>
    </row>
    <row r="120" spans="1:20" x14ac:dyDescent="0.35">
      <c r="A120" s="4">
        <v>43902</v>
      </c>
      <c r="B120" s="5">
        <f t="shared" si="5"/>
        <v>2020</v>
      </c>
      <c r="C120" s="5">
        <f t="shared" si="6"/>
        <v>3</v>
      </c>
      <c r="D120" s="5">
        <f t="shared" si="7"/>
        <v>12</v>
      </c>
      <c r="E120" s="5" t="str">
        <f t="shared" si="8"/>
        <v>March</v>
      </c>
      <c r="F120" s="6" t="s">
        <v>249</v>
      </c>
      <c r="G120" s="6" t="s">
        <v>21</v>
      </c>
      <c r="H120" s="6" t="s">
        <v>44</v>
      </c>
      <c r="I120" s="6" t="s">
        <v>149</v>
      </c>
      <c r="J120" s="6" t="s">
        <v>150</v>
      </c>
      <c r="K120" s="6" t="s">
        <v>151</v>
      </c>
      <c r="L120" s="6" t="s">
        <v>152</v>
      </c>
      <c r="M120" s="6">
        <v>5</v>
      </c>
      <c r="N120" s="7">
        <v>11200</v>
      </c>
      <c r="O120" s="7">
        <f t="shared" si="9"/>
        <v>56000</v>
      </c>
      <c r="P120" s="6" t="s">
        <v>27</v>
      </c>
      <c r="Q120" s="6" t="s">
        <v>28</v>
      </c>
      <c r="R120" s="4">
        <v>43933</v>
      </c>
      <c r="S120" s="6" t="s">
        <v>29</v>
      </c>
      <c r="T120" s="6" t="s">
        <v>30</v>
      </c>
    </row>
    <row r="121" spans="1:20" x14ac:dyDescent="0.35">
      <c r="A121" s="4">
        <v>43902</v>
      </c>
      <c r="B121" s="5">
        <f t="shared" si="5"/>
        <v>2020</v>
      </c>
      <c r="C121" s="5">
        <f t="shared" si="6"/>
        <v>3</v>
      </c>
      <c r="D121" s="5">
        <f t="shared" si="7"/>
        <v>12</v>
      </c>
      <c r="E121" s="5" t="str">
        <f t="shared" si="8"/>
        <v>March</v>
      </c>
      <c r="F121" s="6" t="s">
        <v>250</v>
      </c>
      <c r="G121" s="6" t="s">
        <v>21</v>
      </c>
      <c r="H121" s="6" t="s">
        <v>44</v>
      </c>
      <c r="I121" s="6" t="s">
        <v>156</v>
      </c>
      <c r="J121" s="6" t="s">
        <v>150</v>
      </c>
      <c r="K121" s="6" t="s">
        <v>157</v>
      </c>
      <c r="L121" s="6" t="s">
        <v>158</v>
      </c>
      <c r="M121" s="6">
        <v>5</v>
      </c>
      <c r="N121" s="7">
        <v>7450</v>
      </c>
      <c r="O121" s="7">
        <f t="shared" si="9"/>
        <v>37250</v>
      </c>
      <c r="P121" s="6" t="s">
        <v>27</v>
      </c>
      <c r="Q121" s="6" t="s">
        <v>28</v>
      </c>
      <c r="R121" s="4">
        <v>43933</v>
      </c>
      <c r="S121" s="6" t="s">
        <v>29</v>
      </c>
      <c r="T121" s="6" t="s">
        <v>30</v>
      </c>
    </row>
    <row r="122" spans="1:20" x14ac:dyDescent="0.35">
      <c r="A122" s="4">
        <v>43902</v>
      </c>
      <c r="B122" s="5">
        <f t="shared" si="5"/>
        <v>2020</v>
      </c>
      <c r="C122" s="5">
        <f t="shared" si="6"/>
        <v>3</v>
      </c>
      <c r="D122" s="5">
        <f t="shared" si="7"/>
        <v>12</v>
      </c>
      <c r="E122" s="5" t="str">
        <f t="shared" si="8"/>
        <v>March</v>
      </c>
      <c r="F122" s="6" t="s">
        <v>251</v>
      </c>
      <c r="G122" s="6" t="s">
        <v>142</v>
      </c>
      <c r="H122" s="6" t="s">
        <v>168</v>
      </c>
      <c r="I122" s="6" t="s">
        <v>169</v>
      </c>
      <c r="J122" s="6" t="s">
        <v>150</v>
      </c>
      <c r="K122" s="6" t="s">
        <v>170</v>
      </c>
      <c r="L122" s="6" t="s">
        <v>185</v>
      </c>
      <c r="M122" s="6">
        <v>2</v>
      </c>
      <c r="N122" s="7">
        <v>3000</v>
      </c>
      <c r="O122" s="7">
        <f t="shared" si="9"/>
        <v>6000</v>
      </c>
      <c r="P122" s="6" t="s">
        <v>27</v>
      </c>
      <c r="Q122" s="6" t="s">
        <v>252</v>
      </c>
      <c r="R122" s="4">
        <v>43933</v>
      </c>
      <c r="S122" s="6" t="s">
        <v>85</v>
      </c>
      <c r="T122" s="6" t="s">
        <v>36</v>
      </c>
    </row>
    <row r="123" spans="1:20" x14ac:dyDescent="0.35">
      <c r="A123" s="4">
        <v>43902</v>
      </c>
      <c r="B123" s="5">
        <f t="shared" si="5"/>
        <v>2020</v>
      </c>
      <c r="C123" s="5">
        <f t="shared" si="6"/>
        <v>3</v>
      </c>
      <c r="D123" s="5">
        <f t="shared" si="7"/>
        <v>12</v>
      </c>
      <c r="E123" s="5" t="str">
        <f t="shared" si="8"/>
        <v>March</v>
      </c>
      <c r="F123" s="6" t="s">
        <v>253</v>
      </c>
      <c r="G123" s="6" t="s">
        <v>254</v>
      </c>
      <c r="H123" s="6" t="s">
        <v>200</v>
      </c>
      <c r="I123" s="6" t="s">
        <v>201</v>
      </c>
      <c r="J123" s="6" t="s">
        <v>150</v>
      </c>
      <c r="K123" s="6" t="s">
        <v>166</v>
      </c>
      <c r="L123" s="6" t="s">
        <v>213</v>
      </c>
      <c r="M123" s="6">
        <v>5</v>
      </c>
      <c r="N123" s="7">
        <v>8500</v>
      </c>
      <c r="O123" s="7">
        <f t="shared" si="9"/>
        <v>42500</v>
      </c>
      <c r="P123" s="6" t="s">
        <v>27</v>
      </c>
      <c r="Q123" s="6" t="s">
        <v>255</v>
      </c>
      <c r="R123" s="4">
        <v>43933</v>
      </c>
      <c r="S123" s="6" t="s">
        <v>29</v>
      </c>
      <c r="T123" s="6" t="s">
        <v>36</v>
      </c>
    </row>
    <row r="124" spans="1:20" x14ac:dyDescent="0.35">
      <c r="A124" s="4">
        <v>43902</v>
      </c>
      <c r="B124" s="5">
        <f t="shared" si="5"/>
        <v>2020</v>
      </c>
      <c r="C124" s="5">
        <f t="shared" si="6"/>
        <v>3</v>
      </c>
      <c r="D124" s="5">
        <f t="shared" si="7"/>
        <v>12</v>
      </c>
      <c r="E124" s="5" t="str">
        <f t="shared" si="8"/>
        <v>March</v>
      </c>
      <c r="F124" s="6" t="s">
        <v>253</v>
      </c>
      <c r="G124" s="6" t="s">
        <v>254</v>
      </c>
      <c r="H124" s="6" t="s">
        <v>44</v>
      </c>
      <c r="I124" s="6" t="s">
        <v>156</v>
      </c>
      <c r="J124" s="6" t="s">
        <v>150</v>
      </c>
      <c r="K124" s="6" t="s">
        <v>157</v>
      </c>
      <c r="L124" s="6" t="s">
        <v>158</v>
      </c>
      <c r="M124" s="6">
        <v>3</v>
      </c>
      <c r="N124" s="7">
        <v>7450</v>
      </c>
      <c r="O124" s="7">
        <f t="shared" si="9"/>
        <v>22350</v>
      </c>
      <c r="P124" s="6" t="s">
        <v>27</v>
      </c>
      <c r="Q124" s="6" t="s">
        <v>255</v>
      </c>
      <c r="R124" s="4">
        <v>43933</v>
      </c>
      <c r="S124" s="6" t="s">
        <v>29</v>
      </c>
      <c r="T124" s="6" t="s">
        <v>65</v>
      </c>
    </row>
    <row r="125" spans="1:20" x14ac:dyDescent="0.35">
      <c r="A125" s="4">
        <v>43902</v>
      </c>
      <c r="B125" s="5">
        <f t="shared" si="5"/>
        <v>2020</v>
      </c>
      <c r="C125" s="5">
        <f t="shared" si="6"/>
        <v>3</v>
      </c>
      <c r="D125" s="5">
        <f t="shared" si="7"/>
        <v>12</v>
      </c>
      <c r="E125" s="5" t="str">
        <f t="shared" si="8"/>
        <v>March</v>
      </c>
      <c r="F125" s="6" t="s">
        <v>57</v>
      </c>
      <c r="G125" s="6" t="s">
        <v>58</v>
      </c>
      <c r="H125" s="6" t="s">
        <v>44</v>
      </c>
      <c r="I125" s="6" t="s">
        <v>149</v>
      </c>
      <c r="J125" s="6" t="s">
        <v>150</v>
      </c>
      <c r="K125" s="6" t="s">
        <v>151</v>
      </c>
      <c r="L125" s="6" t="s">
        <v>152</v>
      </c>
      <c r="M125" s="6">
        <v>1</v>
      </c>
      <c r="N125" s="7">
        <v>11200</v>
      </c>
      <c r="O125" s="7">
        <f t="shared" si="9"/>
        <v>11200</v>
      </c>
      <c r="P125" s="6" t="s">
        <v>27</v>
      </c>
      <c r="Q125" s="6" t="s">
        <v>52</v>
      </c>
      <c r="R125" s="4">
        <v>43933</v>
      </c>
      <c r="S125" s="6" t="s">
        <v>29</v>
      </c>
      <c r="T125" s="6" t="s">
        <v>65</v>
      </c>
    </row>
    <row r="126" spans="1:20" x14ac:dyDescent="0.35">
      <c r="A126" s="4">
        <v>43902</v>
      </c>
      <c r="B126" s="5">
        <f t="shared" si="5"/>
        <v>2020</v>
      </c>
      <c r="C126" s="5">
        <f t="shared" si="6"/>
        <v>3</v>
      </c>
      <c r="D126" s="5">
        <f t="shared" si="7"/>
        <v>12</v>
      </c>
      <c r="E126" s="5" t="str">
        <f t="shared" si="8"/>
        <v>March</v>
      </c>
      <c r="F126" s="6" t="s">
        <v>57</v>
      </c>
      <c r="G126" s="6" t="s">
        <v>58</v>
      </c>
      <c r="H126" s="6" t="s">
        <v>191</v>
      </c>
      <c r="I126" s="6" t="s">
        <v>192</v>
      </c>
      <c r="J126" s="6" t="s">
        <v>150</v>
      </c>
      <c r="K126" s="6" t="s">
        <v>151</v>
      </c>
      <c r="L126" s="6" t="s">
        <v>256</v>
      </c>
      <c r="M126" s="6">
        <v>1</v>
      </c>
      <c r="N126" s="7">
        <v>11150</v>
      </c>
      <c r="O126" s="7">
        <f t="shared" si="9"/>
        <v>11150</v>
      </c>
      <c r="P126" s="6" t="s">
        <v>27</v>
      </c>
      <c r="Q126" s="6" t="s">
        <v>52</v>
      </c>
      <c r="R126" s="4">
        <v>43933</v>
      </c>
      <c r="S126" s="6" t="s">
        <v>29</v>
      </c>
      <c r="T126" s="6" t="s">
        <v>65</v>
      </c>
    </row>
    <row r="127" spans="1:20" x14ac:dyDescent="0.35">
      <c r="A127" s="4">
        <v>43902</v>
      </c>
      <c r="B127" s="5">
        <f t="shared" si="5"/>
        <v>2020</v>
      </c>
      <c r="C127" s="5">
        <f t="shared" si="6"/>
        <v>3</v>
      </c>
      <c r="D127" s="5">
        <f t="shared" si="7"/>
        <v>12</v>
      </c>
      <c r="E127" s="5" t="str">
        <f t="shared" si="8"/>
        <v>March</v>
      </c>
      <c r="F127" s="6" t="s">
        <v>257</v>
      </c>
      <c r="G127" s="6" t="s">
        <v>148</v>
      </c>
      <c r="H127" s="6" t="s">
        <v>240</v>
      </c>
      <c r="I127" s="6" t="s">
        <v>241</v>
      </c>
      <c r="J127" s="6" t="s">
        <v>150</v>
      </c>
      <c r="K127" s="6" t="s">
        <v>242</v>
      </c>
      <c r="L127" s="6" t="s">
        <v>258</v>
      </c>
      <c r="M127" s="6">
        <v>1</v>
      </c>
      <c r="N127" s="7">
        <v>5900</v>
      </c>
      <c r="O127" s="7">
        <f t="shared" si="9"/>
        <v>5900</v>
      </c>
      <c r="P127" s="6" t="s">
        <v>27</v>
      </c>
      <c r="Q127" s="6" t="s">
        <v>259</v>
      </c>
      <c r="R127" s="4">
        <v>43933</v>
      </c>
      <c r="S127" s="6" t="s">
        <v>29</v>
      </c>
      <c r="T127" s="6" t="s">
        <v>65</v>
      </c>
    </row>
    <row r="128" spans="1:20" x14ac:dyDescent="0.35">
      <c r="A128" s="4">
        <v>43902</v>
      </c>
      <c r="B128" s="5">
        <f t="shared" si="5"/>
        <v>2020</v>
      </c>
      <c r="C128" s="5">
        <f t="shared" si="6"/>
        <v>3</v>
      </c>
      <c r="D128" s="5">
        <f t="shared" si="7"/>
        <v>12</v>
      </c>
      <c r="E128" s="5" t="str">
        <f t="shared" si="8"/>
        <v>March</v>
      </c>
      <c r="F128" s="6" t="s">
        <v>257</v>
      </c>
      <c r="G128" s="6" t="s">
        <v>148</v>
      </c>
      <c r="H128" s="6" t="s">
        <v>39</v>
      </c>
      <c r="I128" s="6" t="s">
        <v>172</v>
      </c>
      <c r="J128" s="6" t="s">
        <v>150</v>
      </c>
      <c r="K128" s="6" t="s">
        <v>166</v>
      </c>
      <c r="L128" s="6" t="s">
        <v>187</v>
      </c>
      <c r="M128" s="6">
        <v>1</v>
      </c>
      <c r="N128" s="7">
        <v>4550</v>
      </c>
      <c r="O128" s="7">
        <f t="shared" si="9"/>
        <v>4550</v>
      </c>
      <c r="P128" s="6" t="s">
        <v>27</v>
      </c>
      <c r="Q128" s="6" t="s">
        <v>259</v>
      </c>
      <c r="R128" s="4">
        <v>43933</v>
      </c>
      <c r="S128" s="6" t="s">
        <v>29</v>
      </c>
      <c r="T128" s="6" t="s">
        <v>65</v>
      </c>
    </row>
    <row r="129" spans="1:20" x14ac:dyDescent="0.35">
      <c r="A129" s="4">
        <v>43933</v>
      </c>
      <c r="B129" s="5">
        <f t="shared" si="5"/>
        <v>2020</v>
      </c>
      <c r="C129" s="5">
        <f t="shared" si="6"/>
        <v>4</v>
      </c>
      <c r="D129" s="5">
        <f t="shared" si="7"/>
        <v>12</v>
      </c>
      <c r="E129" s="5" t="str">
        <f t="shared" si="8"/>
        <v>April</v>
      </c>
      <c r="F129" s="6" t="s">
        <v>260</v>
      </c>
      <c r="G129" s="6" t="s">
        <v>261</v>
      </c>
      <c r="H129" s="6" t="s">
        <v>44</v>
      </c>
      <c r="I129" s="6" t="s">
        <v>149</v>
      </c>
      <c r="J129" s="6" t="s">
        <v>150</v>
      </c>
      <c r="K129" s="6" t="s">
        <v>151</v>
      </c>
      <c r="L129" s="6" t="s">
        <v>155</v>
      </c>
      <c r="M129" s="6">
        <v>1</v>
      </c>
      <c r="N129" s="7">
        <v>9120</v>
      </c>
      <c r="O129" s="7">
        <f t="shared" si="9"/>
        <v>9120</v>
      </c>
      <c r="P129" s="6" t="s">
        <v>27</v>
      </c>
      <c r="Q129" s="6" t="s">
        <v>262</v>
      </c>
      <c r="R129" s="4">
        <v>43963</v>
      </c>
      <c r="S129" s="6" t="s">
        <v>29</v>
      </c>
      <c r="T129" s="6" t="s">
        <v>65</v>
      </c>
    </row>
    <row r="130" spans="1:20" x14ac:dyDescent="0.35">
      <c r="A130" s="4">
        <v>43933</v>
      </c>
      <c r="B130" s="5">
        <f t="shared" ref="B130:B193" si="10">YEAR(A130)</f>
        <v>2020</v>
      </c>
      <c r="C130" s="5">
        <f t="shared" ref="C130:C193" si="11">MONTH(A130)</f>
        <v>4</v>
      </c>
      <c r="D130" s="5">
        <f t="shared" ref="D130:D193" si="12">DAY(A130)</f>
        <v>12</v>
      </c>
      <c r="E130" s="5" t="str">
        <f t="shared" ref="E130:E193" si="13">TEXT(A130,"MMMM")</f>
        <v>April</v>
      </c>
      <c r="F130" s="6" t="s">
        <v>263</v>
      </c>
      <c r="G130" s="6" t="s">
        <v>264</v>
      </c>
      <c r="H130" s="6" t="s">
        <v>44</v>
      </c>
      <c r="I130" s="6" t="s">
        <v>149</v>
      </c>
      <c r="J130" s="6" t="s">
        <v>150</v>
      </c>
      <c r="K130" s="6" t="s">
        <v>151</v>
      </c>
      <c r="L130" s="6" t="s">
        <v>152</v>
      </c>
      <c r="M130" s="6">
        <v>1</v>
      </c>
      <c r="N130" s="7">
        <v>11200</v>
      </c>
      <c r="O130" s="7">
        <f t="shared" ref="O130:O193" si="14">M130*N130</f>
        <v>11200</v>
      </c>
      <c r="P130" s="6" t="s">
        <v>27</v>
      </c>
      <c r="Q130" s="6" t="s">
        <v>265</v>
      </c>
      <c r="R130" s="4">
        <v>43963</v>
      </c>
      <c r="S130" s="6" t="s">
        <v>29</v>
      </c>
      <c r="T130" s="6" t="s">
        <v>65</v>
      </c>
    </row>
    <row r="131" spans="1:20" x14ac:dyDescent="0.35">
      <c r="A131" s="4">
        <v>43933</v>
      </c>
      <c r="B131" s="5">
        <f t="shared" si="10"/>
        <v>2020</v>
      </c>
      <c r="C131" s="5">
        <f t="shared" si="11"/>
        <v>4</v>
      </c>
      <c r="D131" s="5">
        <f t="shared" si="12"/>
        <v>12</v>
      </c>
      <c r="E131" s="5" t="str">
        <f t="shared" si="13"/>
        <v>April</v>
      </c>
      <c r="F131" s="6" t="s">
        <v>263</v>
      </c>
      <c r="G131" s="6" t="s">
        <v>264</v>
      </c>
      <c r="H131" s="6" t="s">
        <v>44</v>
      </c>
      <c r="I131" s="6" t="s">
        <v>156</v>
      </c>
      <c r="J131" s="6" t="s">
        <v>150</v>
      </c>
      <c r="K131" s="6" t="s">
        <v>157</v>
      </c>
      <c r="L131" s="6" t="s">
        <v>158</v>
      </c>
      <c r="M131" s="6">
        <v>1</v>
      </c>
      <c r="N131" s="7">
        <v>7450</v>
      </c>
      <c r="O131" s="7">
        <f t="shared" si="14"/>
        <v>7450</v>
      </c>
      <c r="P131" s="6" t="s">
        <v>27</v>
      </c>
      <c r="Q131" s="6" t="s">
        <v>265</v>
      </c>
      <c r="R131" s="4">
        <v>43963</v>
      </c>
      <c r="S131" s="6" t="s">
        <v>29</v>
      </c>
      <c r="T131" s="6" t="s">
        <v>65</v>
      </c>
    </row>
    <row r="132" spans="1:20" x14ac:dyDescent="0.35">
      <c r="A132" s="4">
        <v>43933</v>
      </c>
      <c r="B132" s="5">
        <f t="shared" si="10"/>
        <v>2020</v>
      </c>
      <c r="C132" s="5">
        <f t="shared" si="11"/>
        <v>4</v>
      </c>
      <c r="D132" s="5">
        <f t="shared" si="12"/>
        <v>12</v>
      </c>
      <c r="E132" s="5" t="str">
        <f t="shared" si="13"/>
        <v>April</v>
      </c>
      <c r="F132" s="6" t="s">
        <v>263</v>
      </c>
      <c r="G132" s="6" t="s">
        <v>264</v>
      </c>
      <c r="H132" s="6" t="s">
        <v>191</v>
      </c>
      <c r="I132" s="6" t="s">
        <v>192</v>
      </c>
      <c r="J132" s="6" t="s">
        <v>150</v>
      </c>
      <c r="K132" s="6" t="s">
        <v>151</v>
      </c>
      <c r="L132" s="6" t="s">
        <v>193</v>
      </c>
      <c r="M132" s="6">
        <v>1</v>
      </c>
      <c r="N132" s="7">
        <v>9050</v>
      </c>
      <c r="O132" s="7">
        <f t="shared" si="14"/>
        <v>9050</v>
      </c>
      <c r="P132" s="6" t="s">
        <v>27</v>
      </c>
      <c r="Q132" s="6" t="s">
        <v>265</v>
      </c>
      <c r="R132" s="4">
        <v>43963</v>
      </c>
      <c r="S132" s="6" t="s">
        <v>29</v>
      </c>
      <c r="T132" s="6" t="s">
        <v>65</v>
      </c>
    </row>
    <row r="133" spans="1:20" x14ac:dyDescent="0.35">
      <c r="A133" s="4">
        <v>43933</v>
      </c>
      <c r="B133" s="5">
        <f t="shared" si="10"/>
        <v>2020</v>
      </c>
      <c r="C133" s="5">
        <f t="shared" si="11"/>
        <v>4</v>
      </c>
      <c r="D133" s="5">
        <f t="shared" si="12"/>
        <v>12</v>
      </c>
      <c r="E133" s="5" t="str">
        <f t="shared" si="13"/>
        <v>April</v>
      </c>
      <c r="F133" s="6" t="s">
        <v>119</v>
      </c>
      <c r="G133" s="6" t="s">
        <v>120</v>
      </c>
      <c r="H133" s="6" t="s">
        <v>164</v>
      </c>
      <c r="I133" s="6" t="s">
        <v>165</v>
      </c>
      <c r="J133" s="6" t="s">
        <v>150</v>
      </c>
      <c r="K133" s="6" t="s">
        <v>166</v>
      </c>
      <c r="L133" s="6" t="s">
        <v>211</v>
      </c>
      <c r="M133" s="6">
        <v>0.5</v>
      </c>
      <c r="N133" s="7">
        <v>8500</v>
      </c>
      <c r="O133" s="7">
        <f t="shared" si="14"/>
        <v>4250</v>
      </c>
      <c r="P133" s="6" t="s">
        <v>27</v>
      </c>
      <c r="Q133" s="6" t="s">
        <v>64</v>
      </c>
      <c r="R133" s="4">
        <v>43963</v>
      </c>
      <c r="S133" s="6" t="s">
        <v>29</v>
      </c>
      <c r="T133" s="6" t="s">
        <v>65</v>
      </c>
    </row>
    <row r="134" spans="1:20" x14ac:dyDescent="0.35">
      <c r="A134" s="4">
        <v>43933</v>
      </c>
      <c r="B134" s="5">
        <f t="shared" si="10"/>
        <v>2020</v>
      </c>
      <c r="C134" s="5">
        <f t="shared" si="11"/>
        <v>4</v>
      </c>
      <c r="D134" s="5">
        <f t="shared" si="12"/>
        <v>12</v>
      </c>
      <c r="E134" s="5" t="str">
        <f t="shared" si="13"/>
        <v>April</v>
      </c>
      <c r="F134" s="6" t="s">
        <v>119</v>
      </c>
      <c r="G134" s="6" t="s">
        <v>120</v>
      </c>
      <c r="H134" s="6" t="s">
        <v>164</v>
      </c>
      <c r="I134" s="6" t="s">
        <v>165</v>
      </c>
      <c r="J134" s="6" t="s">
        <v>150</v>
      </c>
      <c r="K134" s="6" t="s">
        <v>166</v>
      </c>
      <c r="L134" s="6" t="s">
        <v>167</v>
      </c>
      <c r="M134" s="6">
        <v>0.5</v>
      </c>
      <c r="N134" s="7">
        <v>7800</v>
      </c>
      <c r="O134" s="7">
        <f t="shared" si="14"/>
        <v>3900</v>
      </c>
      <c r="P134" s="6" t="s">
        <v>27</v>
      </c>
      <c r="Q134" s="6" t="s">
        <v>64</v>
      </c>
      <c r="R134" s="4">
        <v>43963</v>
      </c>
      <c r="S134" s="6" t="s">
        <v>29</v>
      </c>
      <c r="T134" s="6" t="s">
        <v>65</v>
      </c>
    </row>
    <row r="135" spans="1:20" x14ac:dyDescent="0.35">
      <c r="A135" s="4">
        <v>43933</v>
      </c>
      <c r="B135" s="5">
        <f t="shared" si="10"/>
        <v>2020</v>
      </c>
      <c r="C135" s="5">
        <f t="shared" si="11"/>
        <v>4</v>
      </c>
      <c r="D135" s="5">
        <f t="shared" si="12"/>
        <v>12</v>
      </c>
      <c r="E135" s="5" t="str">
        <f t="shared" si="13"/>
        <v>April</v>
      </c>
      <c r="F135" s="6" t="s">
        <v>119</v>
      </c>
      <c r="G135" s="6" t="s">
        <v>120</v>
      </c>
      <c r="H135" s="6" t="s">
        <v>168</v>
      </c>
      <c r="I135" s="6" t="s">
        <v>169</v>
      </c>
      <c r="J135" s="6" t="s">
        <v>150</v>
      </c>
      <c r="K135" s="6" t="s">
        <v>170</v>
      </c>
      <c r="L135" s="6" t="s">
        <v>185</v>
      </c>
      <c r="M135" s="6">
        <v>1</v>
      </c>
      <c r="N135" s="7">
        <v>3000</v>
      </c>
      <c r="O135" s="7">
        <f t="shared" si="14"/>
        <v>3000</v>
      </c>
      <c r="P135" s="6" t="s">
        <v>27</v>
      </c>
      <c r="Q135" s="6" t="s">
        <v>64</v>
      </c>
      <c r="R135" s="4">
        <v>43963</v>
      </c>
      <c r="S135" s="6" t="s">
        <v>29</v>
      </c>
      <c r="T135" s="6" t="s">
        <v>36</v>
      </c>
    </row>
    <row r="136" spans="1:20" x14ac:dyDescent="0.35">
      <c r="A136" s="4">
        <v>43933</v>
      </c>
      <c r="B136" s="5">
        <f t="shared" si="10"/>
        <v>2020</v>
      </c>
      <c r="C136" s="5">
        <f t="shared" si="11"/>
        <v>4</v>
      </c>
      <c r="D136" s="5">
        <f t="shared" si="12"/>
        <v>12</v>
      </c>
      <c r="E136" s="5" t="str">
        <f t="shared" si="13"/>
        <v>April</v>
      </c>
      <c r="F136" s="6" t="s">
        <v>119</v>
      </c>
      <c r="G136" s="6" t="s">
        <v>120</v>
      </c>
      <c r="H136" s="6" t="s">
        <v>168</v>
      </c>
      <c r="I136" s="6" t="s">
        <v>169</v>
      </c>
      <c r="J136" s="6" t="s">
        <v>150</v>
      </c>
      <c r="K136" s="6" t="s">
        <v>170</v>
      </c>
      <c r="L136" s="6" t="s">
        <v>171</v>
      </c>
      <c r="M136" s="6">
        <v>1</v>
      </c>
      <c r="N136" s="7">
        <v>3000</v>
      </c>
      <c r="O136" s="7">
        <f t="shared" si="14"/>
        <v>3000</v>
      </c>
      <c r="P136" s="6" t="s">
        <v>27</v>
      </c>
      <c r="Q136" s="6" t="s">
        <v>64</v>
      </c>
      <c r="R136" s="4">
        <v>43963</v>
      </c>
      <c r="S136" s="6" t="s">
        <v>29</v>
      </c>
      <c r="T136" s="6" t="s">
        <v>36</v>
      </c>
    </row>
    <row r="137" spans="1:20" x14ac:dyDescent="0.35">
      <c r="A137" s="4">
        <v>43933</v>
      </c>
      <c r="B137" s="5">
        <f t="shared" si="10"/>
        <v>2020</v>
      </c>
      <c r="C137" s="5">
        <f t="shared" si="11"/>
        <v>4</v>
      </c>
      <c r="D137" s="5">
        <f t="shared" si="12"/>
        <v>12</v>
      </c>
      <c r="E137" s="5" t="str">
        <f t="shared" si="13"/>
        <v>April</v>
      </c>
      <c r="F137" s="6" t="s">
        <v>59</v>
      </c>
      <c r="G137" s="6" t="s">
        <v>60</v>
      </c>
      <c r="H137" s="6" t="s">
        <v>44</v>
      </c>
      <c r="I137" s="6" t="s">
        <v>149</v>
      </c>
      <c r="J137" s="6" t="s">
        <v>150</v>
      </c>
      <c r="K137" s="6" t="s">
        <v>151</v>
      </c>
      <c r="L137" s="6" t="s">
        <v>266</v>
      </c>
      <c r="M137" s="6">
        <v>1</v>
      </c>
      <c r="N137" s="7">
        <v>13600</v>
      </c>
      <c r="O137" s="7">
        <f t="shared" si="14"/>
        <v>13600</v>
      </c>
      <c r="P137" s="6" t="s">
        <v>27</v>
      </c>
      <c r="Q137" s="6" t="s">
        <v>61</v>
      </c>
      <c r="R137" s="4">
        <v>43963</v>
      </c>
      <c r="S137" s="6" t="s">
        <v>29</v>
      </c>
      <c r="T137" s="6" t="s">
        <v>30</v>
      </c>
    </row>
    <row r="138" spans="1:20" x14ac:dyDescent="0.35">
      <c r="A138" s="4">
        <v>43933</v>
      </c>
      <c r="B138" s="5">
        <f t="shared" si="10"/>
        <v>2020</v>
      </c>
      <c r="C138" s="5">
        <f t="shared" si="11"/>
        <v>4</v>
      </c>
      <c r="D138" s="5">
        <f t="shared" si="12"/>
        <v>12</v>
      </c>
      <c r="E138" s="5" t="str">
        <f t="shared" si="13"/>
        <v>April</v>
      </c>
      <c r="F138" s="6" t="s">
        <v>59</v>
      </c>
      <c r="G138" s="6" t="s">
        <v>60</v>
      </c>
      <c r="H138" s="6" t="s">
        <v>44</v>
      </c>
      <c r="I138" s="6" t="s">
        <v>149</v>
      </c>
      <c r="J138" s="6" t="s">
        <v>150</v>
      </c>
      <c r="K138" s="6" t="s">
        <v>151</v>
      </c>
      <c r="L138" s="6" t="s">
        <v>267</v>
      </c>
      <c r="M138" s="6">
        <v>1</v>
      </c>
      <c r="N138" s="7">
        <v>16500</v>
      </c>
      <c r="O138" s="7">
        <f t="shared" si="14"/>
        <v>16500</v>
      </c>
      <c r="P138" s="6" t="s">
        <v>27</v>
      </c>
      <c r="Q138" s="6" t="s">
        <v>61</v>
      </c>
      <c r="R138" s="4">
        <v>43963</v>
      </c>
      <c r="S138" s="6" t="s">
        <v>29</v>
      </c>
      <c r="T138" s="6" t="s">
        <v>30</v>
      </c>
    </row>
    <row r="139" spans="1:20" x14ac:dyDescent="0.35">
      <c r="A139" s="4">
        <v>43933</v>
      </c>
      <c r="B139" s="5">
        <f t="shared" si="10"/>
        <v>2020</v>
      </c>
      <c r="C139" s="5">
        <f t="shared" si="11"/>
        <v>4</v>
      </c>
      <c r="D139" s="5">
        <f t="shared" si="12"/>
        <v>12</v>
      </c>
      <c r="E139" s="5" t="str">
        <f t="shared" si="13"/>
        <v>April</v>
      </c>
      <c r="F139" s="6" t="s">
        <v>59</v>
      </c>
      <c r="G139" s="6" t="s">
        <v>60</v>
      </c>
      <c r="H139" s="6" t="s">
        <v>39</v>
      </c>
      <c r="I139" s="6" t="s">
        <v>268</v>
      </c>
      <c r="J139" s="6" t="s">
        <v>150</v>
      </c>
      <c r="K139" s="6" t="s">
        <v>166</v>
      </c>
      <c r="L139" s="6" t="s">
        <v>269</v>
      </c>
      <c r="M139" s="6">
        <v>1</v>
      </c>
      <c r="N139" s="7">
        <v>8800</v>
      </c>
      <c r="O139" s="7">
        <f t="shared" si="14"/>
        <v>8800</v>
      </c>
      <c r="P139" s="6" t="s">
        <v>27</v>
      </c>
      <c r="Q139" s="6" t="s">
        <v>61</v>
      </c>
      <c r="R139" s="4">
        <v>43963</v>
      </c>
      <c r="S139" s="6" t="s">
        <v>29</v>
      </c>
      <c r="T139" s="6" t="s">
        <v>30</v>
      </c>
    </row>
    <row r="140" spans="1:20" x14ac:dyDescent="0.35">
      <c r="A140" s="4">
        <v>43933</v>
      </c>
      <c r="B140" s="5">
        <f t="shared" si="10"/>
        <v>2020</v>
      </c>
      <c r="C140" s="5">
        <f t="shared" si="11"/>
        <v>4</v>
      </c>
      <c r="D140" s="5">
        <f t="shared" si="12"/>
        <v>12</v>
      </c>
      <c r="E140" s="5" t="str">
        <f t="shared" si="13"/>
        <v>April</v>
      </c>
      <c r="F140" s="6" t="s">
        <v>270</v>
      </c>
      <c r="G140" s="6" t="s">
        <v>271</v>
      </c>
      <c r="H140" s="6" t="s">
        <v>176</v>
      </c>
      <c r="I140" s="6" t="s">
        <v>177</v>
      </c>
      <c r="J140" s="6" t="s">
        <v>150</v>
      </c>
      <c r="K140" s="6" t="s">
        <v>157</v>
      </c>
      <c r="L140" s="6" t="s">
        <v>178</v>
      </c>
      <c r="M140" s="6">
        <v>3</v>
      </c>
      <c r="N140" s="7">
        <v>2000</v>
      </c>
      <c r="O140" s="7">
        <f t="shared" si="14"/>
        <v>6000</v>
      </c>
      <c r="P140" s="6" t="s">
        <v>27</v>
      </c>
      <c r="Q140" s="6" t="s">
        <v>272</v>
      </c>
      <c r="R140" s="4">
        <v>43963</v>
      </c>
      <c r="S140" s="6" t="s">
        <v>85</v>
      </c>
      <c r="T140" s="6" t="s">
        <v>36</v>
      </c>
    </row>
    <row r="141" spans="1:20" x14ac:dyDescent="0.35">
      <c r="A141" s="4">
        <v>43933</v>
      </c>
      <c r="B141" s="5">
        <f t="shared" si="10"/>
        <v>2020</v>
      </c>
      <c r="C141" s="5">
        <f t="shared" si="11"/>
        <v>4</v>
      </c>
      <c r="D141" s="5">
        <f t="shared" si="12"/>
        <v>12</v>
      </c>
      <c r="E141" s="5" t="str">
        <f t="shared" si="13"/>
        <v>April</v>
      </c>
      <c r="F141" s="6" t="s">
        <v>273</v>
      </c>
      <c r="G141" s="6" t="s">
        <v>274</v>
      </c>
      <c r="H141" s="6" t="s">
        <v>164</v>
      </c>
      <c r="I141" s="6" t="s">
        <v>165</v>
      </c>
      <c r="J141" s="6" t="s">
        <v>150</v>
      </c>
      <c r="K141" s="6" t="s">
        <v>166</v>
      </c>
      <c r="L141" s="6" t="s">
        <v>167</v>
      </c>
      <c r="M141" s="6">
        <v>2</v>
      </c>
      <c r="N141" s="7">
        <v>7800</v>
      </c>
      <c r="O141" s="7">
        <f t="shared" si="14"/>
        <v>15600</v>
      </c>
      <c r="P141" s="6" t="s">
        <v>27</v>
      </c>
      <c r="Q141" s="6" t="s">
        <v>275</v>
      </c>
      <c r="R141" s="4">
        <v>43963</v>
      </c>
      <c r="S141" s="6" t="s">
        <v>85</v>
      </c>
      <c r="T141" s="6" t="s">
        <v>36</v>
      </c>
    </row>
    <row r="142" spans="1:20" x14ac:dyDescent="0.35">
      <c r="A142" s="4">
        <v>43933</v>
      </c>
      <c r="B142" s="5">
        <f t="shared" si="10"/>
        <v>2020</v>
      </c>
      <c r="C142" s="5">
        <f t="shared" si="11"/>
        <v>4</v>
      </c>
      <c r="D142" s="5">
        <f t="shared" si="12"/>
        <v>12</v>
      </c>
      <c r="E142" s="5" t="str">
        <f t="shared" si="13"/>
        <v>April</v>
      </c>
      <c r="F142" s="6" t="s">
        <v>273</v>
      </c>
      <c r="G142" s="6" t="s">
        <v>274</v>
      </c>
      <c r="H142" s="6" t="s">
        <v>164</v>
      </c>
      <c r="I142" s="6" t="s">
        <v>165</v>
      </c>
      <c r="J142" s="6" t="s">
        <v>150</v>
      </c>
      <c r="K142" s="6" t="s">
        <v>166</v>
      </c>
      <c r="L142" s="6" t="s">
        <v>211</v>
      </c>
      <c r="M142" s="6">
        <v>2</v>
      </c>
      <c r="N142" s="7">
        <v>8500</v>
      </c>
      <c r="O142" s="7">
        <f t="shared" si="14"/>
        <v>17000</v>
      </c>
      <c r="P142" s="6" t="s">
        <v>27</v>
      </c>
      <c r="Q142" s="6" t="s">
        <v>275</v>
      </c>
      <c r="R142" s="4">
        <v>43963</v>
      </c>
      <c r="S142" s="6" t="s">
        <v>85</v>
      </c>
      <c r="T142" s="6" t="s">
        <v>36</v>
      </c>
    </row>
    <row r="143" spans="1:20" x14ac:dyDescent="0.35">
      <c r="A143" s="4">
        <v>43933</v>
      </c>
      <c r="B143" s="5">
        <f t="shared" si="10"/>
        <v>2020</v>
      </c>
      <c r="C143" s="5">
        <f t="shared" si="11"/>
        <v>4</v>
      </c>
      <c r="D143" s="5">
        <f t="shared" si="12"/>
        <v>12</v>
      </c>
      <c r="E143" s="5" t="str">
        <f t="shared" si="13"/>
        <v>April</v>
      </c>
      <c r="F143" s="6" t="s">
        <v>273</v>
      </c>
      <c r="G143" s="6" t="s">
        <v>274</v>
      </c>
      <c r="H143" s="6" t="s">
        <v>176</v>
      </c>
      <c r="I143" s="6" t="s">
        <v>177</v>
      </c>
      <c r="J143" s="6" t="s">
        <v>150</v>
      </c>
      <c r="K143" s="6" t="s">
        <v>157</v>
      </c>
      <c r="L143" s="6" t="s">
        <v>178</v>
      </c>
      <c r="M143" s="6">
        <v>4</v>
      </c>
      <c r="N143" s="7">
        <v>2000</v>
      </c>
      <c r="O143" s="7">
        <f t="shared" si="14"/>
        <v>8000</v>
      </c>
      <c r="P143" s="6" t="s">
        <v>27</v>
      </c>
      <c r="Q143" s="6" t="s">
        <v>275</v>
      </c>
      <c r="R143" s="4">
        <v>43963</v>
      </c>
      <c r="S143" s="6" t="s">
        <v>85</v>
      </c>
      <c r="T143" s="6" t="s">
        <v>36</v>
      </c>
    </row>
    <row r="144" spans="1:20" x14ac:dyDescent="0.35">
      <c r="A144" s="4">
        <v>43933</v>
      </c>
      <c r="B144" s="5">
        <f t="shared" si="10"/>
        <v>2020</v>
      </c>
      <c r="C144" s="5">
        <f t="shared" si="11"/>
        <v>4</v>
      </c>
      <c r="D144" s="5">
        <f t="shared" si="12"/>
        <v>12</v>
      </c>
      <c r="E144" s="5" t="str">
        <f t="shared" si="13"/>
        <v>April</v>
      </c>
      <c r="F144" s="6" t="s">
        <v>276</v>
      </c>
      <c r="G144" s="6" t="s">
        <v>21</v>
      </c>
      <c r="H144" s="6" t="s">
        <v>44</v>
      </c>
      <c r="I144" s="6" t="s">
        <v>149</v>
      </c>
      <c r="J144" s="6" t="s">
        <v>150</v>
      </c>
      <c r="K144" s="6" t="s">
        <v>151</v>
      </c>
      <c r="L144" s="6" t="s">
        <v>155</v>
      </c>
      <c r="M144" s="6">
        <v>10</v>
      </c>
      <c r="N144" s="7">
        <v>9120</v>
      </c>
      <c r="O144" s="7">
        <f t="shared" si="14"/>
        <v>91200</v>
      </c>
      <c r="P144" s="6" t="s">
        <v>27</v>
      </c>
      <c r="Q144" s="6" t="s">
        <v>28</v>
      </c>
      <c r="R144" s="4">
        <v>43963</v>
      </c>
      <c r="S144" s="6" t="s">
        <v>29</v>
      </c>
      <c r="T144" s="6" t="s">
        <v>30</v>
      </c>
    </row>
    <row r="145" spans="1:20" x14ac:dyDescent="0.35">
      <c r="A145" s="4">
        <v>43933</v>
      </c>
      <c r="B145" s="5">
        <f t="shared" si="10"/>
        <v>2020</v>
      </c>
      <c r="C145" s="5">
        <f t="shared" si="11"/>
        <v>4</v>
      </c>
      <c r="D145" s="5">
        <f t="shared" si="12"/>
        <v>12</v>
      </c>
      <c r="E145" s="5" t="str">
        <f t="shared" si="13"/>
        <v>April</v>
      </c>
      <c r="F145" s="6" t="s">
        <v>277</v>
      </c>
      <c r="G145" s="6" t="s">
        <v>21</v>
      </c>
      <c r="H145" s="6" t="s">
        <v>44</v>
      </c>
      <c r="I145" s="6" t="s">
        <v>149</v>
      </c>
      <c r="J145" s="6" t="s">
        <v>150</v>
      </c>
      <c r="K145" s="6" t="s">
        <v>151</v>
      </c>
      <c r="L145" s="6" t="s">
        <v>155</v>
      </c>
      <c r="M145" s="6">
        <v>5</v>
      </c>
      <c r="N145" s="7">
        <v>9120</v>
      </c>
      <c r="O145" s="7">
        <f t="shared" si="14"/>
        <v>45600</v>
      </c>
      <c r="P145" s="6" t="s">
        <v>27</v>
      </c>
      <c r="Q145" s="6" t="s">
        <v>28</v>
      </c>
      <c r="R145" s="4">
        <v>43963</v>
      </c>
      <c r="S145" s="6" t="s">
        <v>29</v>
      </c>
      <c r="T145" s="6" t="s">
        <v>30</v>
      </c>
    </row>
    <row r="146" spans="1:20" x14ac:dyDescent="0.35">
      <c r="A146" s="4">
        <v>43902</v>
      </c>
      <c r="B146" s="5">
        <f t="shared" si="10"/>
        <v>2020</v>
      </c>
      <c r="C146" s="5">
        <f t="shared" si="11"/>
        <v>3</v>
      </c>
      <c r="D146" s="5">
        <f t="shared" si="12"/>
        <v>12</v>
      </c>
      <c r="E146" s="5" t="str">
        <f t="shared" si="13"/>
        <v>March</v>
      </c>
      <c r="F146" s="6" t="s">
        <v>278</v>
      </c>
      <c r="G146" s="6" t="s">
        <v>279</v>
      </c>
      <c r="H146" s="6" t="s">
        <v>39</v>
      </c>
      <c r="I146" s="6" t="s">
        <v>268</v>
      </c>
      <c r="J146" s="6" t="s">
        <v>150</v>
      </c>
      <c r="K146" s="6" t="s">
        <v>166</v>
      </c>
      <c r="L146" s="6" t="s">
        <v>269</v>
      </c>
      <c r="M146" s="6">
        <v>1</v>
      </c>
      <c r="N146" s="7">
        <v>8800</v>
      </c>
      <c r="O146" s="7">
        <f t="shared" si="14"/>
        <v>8800</v>
      </c>
      <c r="P146" s="6" t="s">
        <v>27</v>
      </c>
      <c r="Q146" s="6" t="s">
        <v>84</v>
      </c>
      <c r="R146" s="4">
        <v>43963</v>
      </c>
      <c r="S146" s="6" t="s">
        <v>85</v>
      </c>
      <c r="T146" s="6" t="s">
        <v>36</v>
      </c>
    </row>
    <row r="147" spans="1:20" x14ac:dyDescent="0.35">
      <c r="A147" s="4">
        <v>43933</v>
      </c>
      <c r="B147" s="5">
        <f t="shared" si="10"/>
        <v>2020</v>
      </c>
      <c r="C147" s="5">
        <f t="shared" si="11"/>
        <v>4</v>
      </c>
      <c r="D147" s="5">
        <f t="shared" si="12"/>
        <v>12</v>
      </c>
      <c r="E147" s="5" t="str">
        <f t="shared" si="13"/>
        <v>April</v>
      </c>
      <c r="F147" s="6" t="s">
        <v>280</v>
      </c>
      <c r="G147" s="6" t="s">
        <v>160</v>
      </c>
      <c r="H147" s="6" t="s">
        <v>191</v>
      </c>
      <c r="I147" s="6" t="s">
        <v>192</v>
      </c>
      <c r="J147" s="6" t="s">
        <v>150</v>
      </c>
      <c r="K147" s="6" t="s">
        <v>151</v>
      </c>
      <c r="L147" s="6" t="s">
        <v>193</v>
      </c>
      <c r="M147" s="6">
        <v>5</v>
      </c>
      <c r="N147" s="7">
        <v>9050</v>
      </c>
      <c r="O147" s="7">
        <f t="shared" si="14"/>
        <v>45250</v>
      </c>
      <c r="P147" s="6" t="s">
        <v>27</v>
      </c>
      <c r="Q147" s="6" t="s">
        <v>28</v>
      </c>
      <c r="R147" s="4">
        <v>43963</v>
      </c>
      <c r="S147" s="6" t="s">
        <v>29</v>
      </c>
      <c r="T147" s="6" t="s">
        <v>30</v>
      </c>
    </row>
    <row r="148" spans="1:20" x14ac:dyDescent="0.35">
      <c r="A148" s="4">
        <v>43933</v>
      </c>
      <c r="B148" s="5">
        <f t="shared" si="10"/>
        <v>2020</v>
      </c>
      <c r="C148" s="5">
        <f t="shared" si="11"/>
        <v>4</v>
      </c>
      <c r="D148" s="5">
        <f t="shared" si="12"/>
        <v>12</v>
      </c>
      <c r="E148" s="5" t="str">
        <f t="shared" si="13"/>
        <v>April</v>
      </c>
      <c r="F148" s="6" t="s">
        <v>121</v>
      </c>
      <c r="G148" s="6" t="s">
        <v>122</v>
      </c>
      <c r="H148" s="6" t="s">
        <v>176</v>
      </c>
      <c r="I148" s="6" t="s">
        <v>281</v>
      </c>
      <c r="J148" s="6" t="s">
        <v>150</v>
      </c>
      <c r="K148" s="6" t="s">
        <v>282</v>
      </c>
      <c r="L148" s="6" t="s">
        <v>283</v>
      </c>
      <c r="M148" s="6">
        <v>3</v>
      </c>
      <c r="N148" s="7">
        <v>3300</v>
      </c>
      <c r="O148" s="7">
        <f t="shared" si="14"/>
        <v>9900</v>
      </c>
      <c r="P148" s="6" t="s">
        <v>27</v>
      </c>
      <c r="Q148" s="6" t="s">
        <v>123</v>
      </c>
      <c r="R148" s="4">
        <v>43963</v>
      </c>
      <c r="S148" s="6" t="s">
        <v>29</v>
      </c>
      <c r="T148" s="6" t="s">
        <v>30</v>
      </c>
    </row>
    <row r="149" spans="1:20" x14ac:dyDescent="0.35">
      <c r="A149" s="4">
        <v>43933</v>
      </c>
      <c r="B149" s="5">
        <f t="shared" si="10"/>
        <v>2020</v>
      </c>
      <c r="C149" s="5">
        <f t="shared" si="11"/>
        <v>4</v>
      </c>
      <c r="D149" s="5">
        <f t="shared" si="12"/>
        <v>12</v>
      </c>
      <c r="E149" s="5" t="str">
        <f t="shared" si="13"/>
        <v>April</v>
      </c>
      <c r="F149" s="6" t="s">
        <v>121</v>
      </c>
      <c r="G149" s="6" t="s">
        <v>122</v>
      </c>
      <c r="H149" s="6" t="s">
        <v>44</v>
      </c>
      <c r="I149" s="6" t="s">
        <v>149</v>
      </c>
      <c r="J149" s="6" t="s">
        <v>150</v>
      </c>
      <c r="K149" s="6" t="s">
        <v>151</v>
      </c>
      <c r="L149" s="6" t="s">
        <v>155</v>
      </c>
      <c r="M149" s="6">
        <v>3</v>
      </c>
      <c r="N149" s="7">
        <v>9120</v>
      </c>
      <c r="O149" s="7">
        <f t="shared" si="14"/>
        <v>27360</v>
      </c>
      <c r="P149" s="6" t="s">
        <v>27</v>
      </c>
      <c r="Q149" s="6" t="s">
        <v>123</v>
      </c>
      <c r="R149" s="4">
        <v>43963</v>
      </c>
      <c r="S149" s="6" t="s">
        <v>29</v>
      </c>
      <c r="T149" s="6" t="s">
        <v>30</v>
      </c>
    </row>
    <row r="150" spans="1:20" x14ac:dyDescent="0.35">
      <c r="A150" s="4">
        <v>43933</v>
      </c>
      <c r="B150" s="5">
        <f t="shared" si="10"/>
        <v>2020</v>
      </c>
      <c r="C150" s="5">
        <f t="shared" si="11"/>
        <v>4</v>
      </c>
      <c r="D150" s="5">
        <f t="shared" si="12"/>
        <v>12</v>
      </c>
      <c r="E150" s="5" t="str">
        <f t="shared" si="13"/>
        <v>April</v>
      </c>
      <c r="F150" s="6" t="s">
        <v>124</v>
      </c>
      <c r="G150" s="6" t="s">
        <v>125</v>
      </c>
      <c r="H150" s="6" t="s">
        <v>219</v>
      </c>
      <c r="I150" s="6" t="s">
        <v>220</v>
      </c>
      <c r="J150" s="6" t="s">
        <v>150</v>
      </c>
      <c r="K150" s="6" t="s">
        <v>221</v>
      </c>
      <c r="L150" s="6" t="s">
        <v>284</v>
      </c>
      <c r="M150" s="6">
        <v>1</v>
      </c>
      <c r="N150" s="7">
        <v>2780</v>
      </c>
      <c r="O150" s="7">
        <f t="shared" si="14"/>
        <v>2780</v>
      </c>
      <c r="P150" s="6" t="s">
        <v>27</v>
      </c>
      <c r="Q150" s="6" t="s">
        <v>126</v>
      </c>
      <c r="R150" s="4">
        <v>43963</v>
      </c>
      <c r="S150" s="6" t="s">
        <v>85</v>
      </c>
      <c r="T150" s="6" t="s">
        <v>36</v>
      </c>
    </row>
    <row r="151" spans="1:20" x14ac:dyDescent="0.35">
      <c r="A151" s="4">
        <v>43933</v>
      </c>
      <c r="B151" s="5">
        <f t="shared" si="10"/>
        <v>2020</v>
      </c>
      <c r="C151" s="5">
        <f t="shared" si="11"/>
        <v>4</v>
      </c>
      <c r="D151" s="5">
        <f t="shared" si="12"/>
        <v>12</v>
      </c>
      <c r="E151" s="5" t="str">
        <f t="shared" si="13"/>
        <v>April</v>
      </c>
      <c r="F151" s="6" t="s">
        <v>124</v>
      </c>
      <c r="G151" s="6" t="s">
        <v>125</v>
      </c>
      <c r="H151" s="6" t="s">
        <v>44</v>
      </c>
      <c r="I151" s="6" t="s">
        <v>149</v>
      </c>
      <c r="J151" s="6" t="s">
        <v>150</v>
      </c>
      <c r="K151" s="6" t="s">
        <v>151</v>
      </c>
      <c r="L151" s="6" t="s">
        <v>152</v>
      </c>
      <c r="M151" s="6">
        <v>1</v>
      </c>
      <c r="N151" s="7">
        <v>11200</v>
      </c>
      <c r="O151" s="7">
        <f t="shared" si="14"/>
        <v>11200</v>
      </c>
      <c r="P151" s="6" t="s">
        <v>27</v>
      </c>
      <c r="Q151" s="6" t="s">
        <v>126</v>
      </c>
      <c r="R151" s="4">
        <v>43963</v>
      </c>
      <c r="S151" s="6" t="s">
        <v>85</v>
      </c>
      <c r="T151" s="6" t="s">
        <v>36</v>
      </c>
    </row>
    <row r="152" spans="1:20" x14ac:dyDescent="0.35">
      <c r="A152" s="4">
        <v>43933</v>
      </c>
      <c r="B152" s="5">
        <f t="shared" si="10"/>
        <v>2020</v>
      </c>
      <c r="C152" s="5">
        <f t="shared" si="11"/>
        <v>4</v>
      </c>
      <c r="D152" s="5">
        <f t="shared" si="12"/>
        <v>12</v>
      </c>
      <c r="E152" s="5" t="str">
        <f t="shared" si="13"/>
        <v>April</v>
      </c>
      <c r="F152" s="6" t="s">
        <v>124</v>
      </c>
      <c r="G152" s="6" t="s">
        <v>125</v>
      </c>
      <c r="H152" s="6" t="s">
        <v>39</v>
      </c>
      <c r="I152" s="6" t="s">
        <v>172</v>
      </c>
      <c r="J152" s="6" t="s">
        <v>150</v>
      </c>
      <c r="K152" s="6" t="s">
        <v>166</v>
      </c>
      <c r="L152" s="6" t="s">
        <v>203</v>
      </c>
      <c r="M152" s="6">
        <v>1</v>
      </c>
      <c r="N152" s="7">
        <v>3750</v>
      </c>
      <c r="O152" s="7">
        <f t="shared" si="14"/>
        <v>3750</v>
      </c>
      <c r="P152" s="6" t="s">
        <v>27</v>
      </c>
      <c r="Q152" s="6" t="s">
        <v>126</v>
      </c>
      <c r="R152" s="4">
        <v>43963</v>
      </c>
      <c r="S152" s="6" t="s">
        <v>85</v>
      </c>
      <c r="T152" s="6" t="s">
        <v>36</v>
      </c>
    </row>
    <row r="153" spans="1:20" x14ac:dyDescent="0.35">
      <c r="A153" s="4">
        <v>43933</v>
      </c>
      <c r="B153" s="5">
        <f t="shared" si="10"/>
        <v>2020</v>
      </c>
      <c r="C153" s="5">
        <f t="shared" si="11"/>
        <v>4</v>
      </c>
      <c r="D153" s="5">
        <f t="shared" si="12"/>
        <v>12</v>
      </c>
      <c r="E153" s="5" t="str">
        <f t="shared" si="13"/>
        <v>April</v>
      </c>
      <c r="F153" s="6" t="s">
        <v>62</v>
      </c>
      <c r="G153" s="6" t="s">
        <v>63</v>
      </c>
      <c r="H153" s="6" t="s">
        <v>191</v>
      </c>
      <c r="I153" s="6" t="s">
        <v>192</v>
      </c>
      <c r="J153" s="6" t="s">
        <v>150</v>
      </c>
      <c r="K153" s="6" t="s">
        <v>151</v>
      </c>
      <c r="L153" s="6" t="s">
        <v>256</v>
      </c>
      <c r="M153" s="6">
        <v>1</v>
      </c>
      <c r="N153" s="7">
        <v>11150</v>
      </c>
      <c r="O153" s="7">
        <f t="shared" si="14"/>
        <v>11150</v>
      </c>
      <c r="P153" s="6" t="s">
        <v>27</v>
      </c>
      <c r="Q153" s="6" t="s">
        <v>64</v>
      </c>
      <c r="R153" s="4">
        <v>43963</v>
      </c>
      <c r="S153" s="6" t="s">
        <v>29</v>
      </c>
      <c r="T153" s="6" t="s">
        <v>36</v>
      </c>
    </row>
    <row r="154" spans="1:20" x14ac:dyDescent="0.35">
      <c r="A154" s="4">
        <v>43933</v>
      </c>
      <c r="B154" s="5">
        <f t="shared" si="10"/>
        <v>2020</v>
      </c>
      <c r="C154" s="5">
        <f t="shared" si="11"/>
        <v>4</v>
      </c>
      <c r="D154" s="5">
        <f t="shared" si="12"/>
        <v>12</v>
      </c>
      <c r="E154" s="5" t="str">
        <f t="shared" si="13"/>
        <v>April</v>
      </c>
      <c r="F154" s="6" t="s">
        <v>62</v>
      </c>
      <c r="G154" s="6" t="s">
        <v>63</v>
      </c>
      <c r="H154" s="6" t="s">
        <v>191</v>
      </c>
      <c r="I154" s="6" t="s">
        <v>192</v>
      </c>
      <c r="J154" s="6" t="s">
        <v>150</v>
      </c>
      <c r="K154" s="6" t="s">
        <v>151</v>
      </c>
      <c r="L154" s="6" t="s">
        <v>193</v>
      </c>
      <c r="M154" s="6">
        <v>1</v>
      </c>
      <c r="N154" s="7">
        <v>9050</v>
      </c>
      <c r="O154" s="7">
        <f t="shared" si="14"/>
        <v>9050</v>
      </c>
      <c r="P154" s="6" t="s">
        <v>27</v>
      </c>
      <c r="Q154" s="6" t="s">
        <v>64</v>
      </c>
      <c r="R154" s="4">
        <v>43963</v>
      </c>
      <c r="S154" s="6" t="s">
        <v>29</v>
      </c>
      <c r="T154" s="6" t="s">
        <v>36</v>
      </c>
    </row>
    <row r="155" spans="1:20" x14ac:dyDescent="0.35">
      <c r="A155" s="4">
        <v>43933</v>
      </c>
      <c r="B155" s="5">
        <f t="shared" si="10"/>
        <v>2020</v>
      </c>
      <c r="C155" s="5">
        <f t="shared" si="11"/>
        <v>4</v>
      </c>
      <c r="D155" s="5">
        <f t="shared" si="12"/>
        <v>12</v>
      </c>
      <c r="E155" s="5" t="str">
        <f t="shared" si="13"/>
        <v>April</v>
      </c>
      <c r="F155" s="6" t="s">
        <v>62</v>
      </c>
      <c r="G155" s="6" t="s">
        <v>63</v>
      </c>
      <c r="H155" s="6" t="s">
        <v>200</v>
      </c>
      <c r="I155" s="6" t="s">
        <v>201</v>
      </c>
      <c r="J155" s="6" t="s">
        <v>150</v>
      </c>
      <c r="K155" s="6" t="s">
        <v>166</v>
      </c>
      <c r="L155" s="6" t="s">
        <v>285</v>
      </c>
      <c r="M155" s="6">
        <v>1</v>
      </c>
      <c r="N155" s="7">
        <v>19170</v>
      </c>
      <c r="O155" s="7">
        <f t="shared" si="14"/>
        <v>19170</v>
      </c>
      <c r="P155" s="6" t="s">
        <v>27</v>
      </c>
      <c r="Q155" s="6" t="s">
        <v>64</v>
      </c>
      <c r="R155" s="4">
        <v>43963</v>
      </c>
      <c r="S155" s="6" t="s">
        <v>29</v>
      </c>
      <c r="T155" s="6" t="s">
        <v>36</v>
      </c>
    </row>
    <row r="156" spans="1:20" x14ac:dyDescent="0.35">
      <c r="A156" s="4">
        <v>43933</v>
      </c>
      <c r="B156" s="5">
        <f t="shared" si="10"/>
        <v>2020</v>
      </c>
      <c r="C156" s="5">
        <f t="shared" si="11"/>
        <v>4</v>
      </c>
      <c r="D156" s="5">
        <f t="shared" si="12"/>
        <v>12</v>
      </c>
      <c r="E156" s="5" t="str">
        <f t="shared" si="13"/>
        <v>April</v>
      </c>
      <c r="F156" s="6" t="s">
        <v>62</v>
      </c>
      <c r="G156" s="6" t="s">
        <v>63</v>
      </c>
      <c r="H156" s="6" t="s">
        <v>200</v>
      </c>
      <c r="I156" s="6" t="s">
        <v>286</v>
      </c>
      <c r="J156" s="6" t="s">
        <v>150</v>
      </c>
      <c r="K156" s="6" t="s">
        <v>166</v>
      </c>
      <c r="L156" s="6" t="s">
        <v>287</v>
      </c>
      <c r="M156" s="6">
        <v>1</v>
      </c>
      <c r="N156" s="7">
        <v>23680</v>
      </c>
      <c r="O156" s="7">
        <f t="shared" si="14"/>
        <v>23680</v>
      </c>
      <c r="P156" s="6" t="s">
        <v>27</v>
      </c>
      <c r="Q156" s="6" t="s">
        <v>64</v>
      </c>
      <c r="R156" s="4">
        <v>43963</v>
      </c>
      <c r="S156" s="6" t="s">
        <v>29</v>
      </c>
      <c r="T156" s="6" t="s">
        <v>36</v>
      </c>
    </row>
    <row r="157" spans="1:20" x14ac:dyDescent="0.35">
      <c r="A157" s="4">
        <v>43933</v>
      </c>
      <c r="B157" s="5">
        <f t="shared" si="10"/>
        <v>2020</v>
      </c>
      <c r="C157" s="5">
        <f t="shared" si="11"/>
        <v>4</v>
      </c>
      <c r="D157" s="5">
        <f t="shared" si="12"/>
        <v>12</v>
      </c>
      <c r="E157" s="5" t="str">
        <f t="shared" si="13"/>
        <v>April</v>
      </c>
      <c r="F157" s="6" t="s">
        <v>62</v>
      </c>
      <c r="G157" s="6" t="s">
        <v>63</v>
      </c>
      <c r="H157" s="6" t="s">
        <v>44</v>
      </c>
      <c r="I157" s="6" t="s">
        <v>149</v>
      </c>
      <c r="J157" s="6" t="s">
        <v>150</v>
      </c>
      <c r="K157" s="6" t="s">
        <v>151</v>
      </c>
      <c r="L157" s="6" t="s">
        <v>152</v>
      </c>
      <c r="M157" s="6">
        <v>2</v>
      </c>
      <c r="N157" s="7">
        <v>11200</v>
      </c>
      <c r="O157" s="7">
        <f t="shared" si="14"/>
        <v>22400</v>
      </c>
      <c r="P157" s="6" t="s">
        <v>27</v>
      </c>
      <c r="Q157" s="6" t="s">
        <v>64</v>
      </c>
      <c r="R157" s="4">
        <v>43963</v>
      </c>
      <c r="S157" s="6" t="s">
        <v>29</v>
      </c>
      <c r="T157" s="6" t="s">
        <v>36</v>
      </c>
    </row>
    <row r="158" spans="1:20" x14ac:dyDescent="0.35">
      <c r="A158" s="4">
        <v>43933</v>
      </c>
      <c r="B158" s="5">
        <f t="shared" si="10"/>
        <v>2020</v>
      </c>
      <c r="C158" s="5">
        <f t="shared" si="11"/>
        <v>4</v>
      </c>
      <c r="D158" s="5">
        <f t="shared" si="12"/>
        <v>12</v>
      </c>
      <c r="E158" s="5" t="str">
        <f t="shared" si="13"/>
        <v>April</v>
      </c>
      <c r="F158" s="6" t="s">
        <v>62</v>
      </c>
      <c r="G158" s="6" t="s">
        <v>63</v>
      </c>
      <c r="H158" s="6" t="s">
        <v>44</v>
      </c>
      <c r="I158" s="6" t="s">
        <v>156</v>
      </c>
      <c r="J158" s="6" t="s">
        <v>150</v>
      </c>
      <c r="K158" s="6" t="s">
        <v>157</v>
      </c>
      <c r="L158" s="6" t="s">
        <v>158</v>
      </c>
      <c r="M158" s="6">
        <v>1</v>
      </c>
      <c r="N158" s="7">
        <v>7450</v>
      </c>
      <c r="O158" s="7">
        <f t="shared" si="14"/>
        <v>7450</v>
      </c>
      <c r="P158" s="6" t="s">
        <v>27</v>
      </c>
      <c r="Q158" s="6" t="s">
        <v>64</v>
      </c>
      <c r="R158" s="4">
        <v>43963</v>
      </c>
      <c r="S158" s="6" t="s">
        <v>29</v>
      </c>
      <c r="T158" s="6" t="s">
        <v>65</v>
      </c>
    </row>
    <row r="159" spans="1:20" x14ac:dyDescent="0.35">
      <c r="A159" s="4">
        <v>43933</v>
      </c>
      <c r="B159" s="5">
        <f t="shared" si="10"/>
        <v>2020</v>
      </c>
      <c r="C159" s="5">
        <f t="shared" si="11"/>
        <v>4</v>
      </c>
      <c r="D159" s="5">
        <f t="shared" si="12"/>
        <v>12</v>
      </c>
      <c r="E159" s="5" t="str">
        <f t="shared" si="13"/>
        <v>April</v>
      </c>
      <c r="F159" s="6" t="s">
        <v>62</v>
      </c>
      <c r="G159" s="6" t="s">
        <v>63</v>
      </c>
      <c r="H159" s="6" t="s">
        <v>44</v>
      </c>
      <c r="I159" s="6" t="s">
        <v>149</v>
      </c>
      <c r="J159" s="6" t="s">
        <v>150</v>
      </c>
      <c r="K159" s="6" t="s">
        <v>151</v>
      </c>
      <c r="L159" s="6" t="s">
        <v>266</v>
      </c>
      <c r="M159" s="6">
        <v>1</v>
      </c>
      <c r="N159" s="7">
        <v>13600</v>
      </c>
      <c r="O159" s="7">
        <f t="shared" si="14"/>
        <v>13600</v>
      </c>
      <c r="P159" s="6" t="s">
        <v>27</v>
      </c>
      <c r="Q159" s="6" t="s">
        <v>64</v>
      </c>
      <c r="R159" s="4">
        <v>43963</v>
      </c>
      <c r="S159" s="6" t="s">
        <v>29</v>
      </c>
      <c r="T159" s="6" t="s">
        <v>65</v>
      </c>
    </row>
    <row r="160" spans="1:20" x14ac:dyDescent="0.35">
      <c r="A160" s="4">
        <v>43933</v>
      </c>
      <c r="B160" s="5">
        <f t="shared" si="10"/>
        <v>2020</v>
      </c>
      <c r="C160" s="5">
        <f t="shared" si="11"/>
        <v>4</v>
      </c>
      <c r="D160" s="5">
        <f t="shared" si="12"/>
        <v>12</v>
      </c>
      <c r="E160" s="5" t="str">
        <f t="shared" si="13"/>
        <v>April</v>
      </c>
      <c r="F160" s="6" t="s">
        <v>62</v>
      </c>
      <c r="G160" s="6" t="s">
        <v>63</v>
      </c>
      <c r="H160" s="6" t="s">
        <v>44</v>
      </c>
      <c r="I160" s="6" t="s">
        <v>288</v>
      </c>
      <c r="J160" s="6" t="s">
        <v>150</v>
      </c>
      <c r="K160" s="6" t="s">
        <v>289</v>
      </c>
      <c r="L160" s="6" t="s">
        <v>290</v>
      </c>
      <c r="M160" s="6">
        <v>1</v>
      </c>
      <c r="N160" s="7">
        <v>21200</v>
      </c>
      <c r="O160" s="7">
        <f t="shared" si="14"/>
        <v>21200</v>
      </c>
      <c r="P160" s="6" t="s">
        <v>27</v>
      </c>
      <c r="Q160" s="6" t="s">
        <v>64</v>
      </c>
      <c r="R160" s="4">
        <v>43963</v>
      </c>
      <c r="S160" s="6" t="s">
        <v>29</v>
      </c>
      <c r="T160" s="6" t="s">
        <v>65</v>
      </c>
    </row>
    <row r="161" spans="1:20" x14ac:dyDescent="0.35">
      <c r="A161" s="4">
        <v>43933</v>
      </c>
      <c r="B161" s="5">
        <f t="shared" si="10"/>
        <v>2020</v>
      </c>
      <c r="C161" s="5">
        <f t="shared" si="11"/>
        <v>4</v>
      </c>
      <c r="D161" s="5">
        <f t="shared" si="12"/>
        <v>12</v>
      </c>
      <c r="E161" s="5" t="str">
        <f t="shared" si="13"/>
        <v>April</v>
      </c>
      <c r="F161" s="6" t="s">
        <v>62</v>
      </c>
      <c r="G161" s="6" t="s">
        <v>63</v>
      </c>
      <c r="H161" s="6" t="s">
        <v>176</v>
      </c>
      <c r="I161" s="6" t="s">
        <v>177</v>
      </c>
      <c r="J161" s="6" t="s">
        <v>150</v>
      </c>
      <c r="K161" s="6" t="s">
        <v>157</v>
      </c>
      <c r="L161" s="6" t="s">
        <v>291</v>
      </c>
      <c r="M161" s="6">
        <v>2</v>
      </c>
      <c r="N161" s="6">
        <v>700</v>
      </c>
      <c r="O161" s="7">
        <f t="shared" si="14"/>
        <v>1400</v>
      </c>
      <c r="P161" s="6" t="s">
        <v>27</v>
      </c>
      <c r="Q161" s="6" t="s">
        <v>64</v>
      </c>
      <c r="R161" s="4">
        <v>43963</v>
      </c>
      <c r="S161" s="6" t="s">
        <v>29</v>
      </c>
      <c r="T161" s="6" t="s">
        <v>65</v>
      </c>
    </row>
    <row r="162" spans="1:20" x14ac:dyDescent="0.35">
      <c r="A162" s="4">
        <v>43933</v>
      </c>
      <c r="B162" s="5">
        <f t="shared" si="10"/>
        <v>2020</v>
      </c>
      <c r="C162" s="5">
        <f t="shared" si="11"/>
        <v>4</v>
      </c>
      <c r="D162" s="5">
        <f t="shared" si="12"/>
        <v>12</v>
      </c>
      <c r="E162" s="5" t="str">
        <f t="shared" si="13"/>
        <v>April</v>
      </c>
      <c r="F162" s="6" t="s">
        <v>62</v>
      </c>
      <c r="G162" s="6" t="s">
        <v>63</v>
      </c>
      <c r="H162" s="6" t="s">
        <v>176</v>
      </c>
      <c r="I162" s="6" t="s">
        <v>177</v>
      </c>
      <c r="J162" s="6" t="s">
        <v>150</v>
      </c>
      <c r="K162" s="6" t="s">
        <v>157</v>
      </c>
      <c r="L162" s="6" t="s">
        <v>292</v>
      </c>
      <c r="M162" s="6">
        <v>1</v>
      </c>
      <c r="N162" s="7">
        <v>5900</v>
      </c>
      <c r="O162" s="7">
        <f t="shared" si="14"/>
        <v>5900</v>
      </c>
      <c r="P162" s="6" t="s">
        <v>27</v>
      </c>
      <c r="Q162" s="6" t="s">
        <v>64</v>
      </c>
      <c r="R162" s="4">
        <v>43963</v>
      </c>
      <c r="S162" s="6" t="s">
        <v>29</v>
      </c>
      <c r="T162" s="6" t="s">
        <v>65</v>
      </c>
    </row>
    <row r="163" spans="1:20" x14ac:dyDescent="0.35">
      <c r="A163" s="4">
        <v>43933</v>
      </c>
      <c r="B163" s="5">
        <f t="shared" si="10"/>
        <v>2020</v>
      </c>
      <c r="C163" s="5">
        <f t="shared" si="11"/>
        <v>4</v>
      </c>
      <c r="D163" s="5">
        <f t="shared" si="12"/>
        <v>12</v>
      </c>
      <c r="E163" s="5" t="str">
        <f t="shared" si="13"/>
        <v>April</v>
      </c>
      <c r="F163" s="6" t="s">
        <v>62</v>
      </c>
      <c r="G163" s="6" t="s">
        <v>63</v>
      </c>
      <c r="H163" s="6" t="s">
        <v>293</v>
      </c>
      <c r="I163" s="6" t="s">
        <v>294</v>
      </c>
      <c r="J163" s="6" t="s">
        <v>150</v>
      </c>
      <c r="K163" s="6" t="s">
        <v>157</v>
      </c>
      <c r="L163" s="6" t="s">
        <v>295</v>
      </c>
      <c r="M163" s="6">
        <v>1</v>
      </c>
      <c r="N163" s="7">
        <v>5100</v>
      </c>
      <c r="O163" s="7">
        <f t="shared" si="14"/>
        <v>5100</v>
      </c>
      <c r="P163" s="6" t="s">
        <v>27</v>
      </c>
      <c r="Q163" s="6" t="s">
        <v>64</v>
      </c>
      <c r="R163" s="4">
        <v>43963</v>
      </c>
      <c r="S163" s="6" t="s">
        <v>29</v>
      </c>
      <c r="T163" s="6" t="s">
        <v>65</v>
      </c>
    </row>
    <row r="164" spans="1:20" x14ac:dyDescent="0.35">
      <c r="A164" s="4">
        <v>43933</v>
      </c>
      <c r="B164" s="5">
        <f t="shared" si="10"/>
        <v>2020</v>
      </c>
      <c r="C164" s="5">
        <f t="shared" si="11"/>
        <v>4</v>
      </c>
      <c r="D164" s="5">
        <f t="shared" si="12"/>
        <v>12</v>
      </c>
      <c r="E164" s="5" t="str">
        <f t="shared" si="13"/>
        <v>April</v>
      </c>
      <c r="F164" s="6" t="s">
        <v>66</v>
      </c>
      <c r="G164" s="6" t="s">
        <v>67</v>
      </c>
      <c r="H164" s="6" t="s">
        <v>240</v>
      </c>
      <c r="I164" s="6" t="s">
        <v>241</v>
      </c>
      <c r="J164" s="6" t="s">
        <v>150</v>
      </c>
      <c r="K164" s="6" t="s">
        <v>242</v>
      </c>
      <c r="L164" s="6" t="s">
        <v>243</v>
      </c>
      <c r="M164" s="6">
        <v>1</v>
      </c>
      <c r="N164" s="7">
        <v>14900</v>
      </c>
      <c r="O164" s="7">
        <f t="shared" si="14"/>
        <v>14900</v>
      </c>
      <c r="P164" s="6" t="s">
        <v>27</v>
      </c>
      <c r="Q164" s="6" t="s">
        <v>52</v>
      </c>
      <c r="R164" s="4">
        <v>43994</v>
      </c>
      <c r="S164" s="6" t="s">
        <v>29</v>
      </c>
      <c r="T164" s="6" t="s">
        <v>65</v>
      </c>
    </row>
    <row r="165" spans="1:20" x14ac:dyDescent="0.35">
      <c r="A165" s="4">
        <v>43933</v>
      </c>
      <c r="B165" s="5">
        <f t="shared" si="10"/>
        <v>2020</v>
      </c>
      <c r="C165" s="5">
        <f t="shared" si="11"/>
        <v>4</v>
      </c>
      <c r="D165" s="5">
        <f t="shared" si="12"/>
        <v>12</v>
      </c>
      <c r="E165" s="5" t="str">
        <f t="shared" si="13"/>
        <v>April</v>
      </c>
      <c r="F165" s="6" t="s">
        <v>66</v>
      </c>
      <c r="G165" s="6" t="s">
        <v>67</v>
      </c>
      <c r="H165" s="6" t="s">
        <v>191</v>
      </c>
      <c r="I165" s="6" t="s">
        <v>192</v>
      </c>
      <c r="J165" s="6" t="s">
        <v>150</v>
      </c>
      <c r="K165" s="6" t="s">
        <v>151</v>
      </c>
      <c r="L165" s="6" t="s">
        <v>256</v>
      </c>
      <c r="M165" s="6">
        <v>3</v>
      </c>
      <c r="N165" s="7">
        <v>11150</v>
      </c>
      <c r="O165" s="7">
        <f t="shared" si="14"/>
        <v>33450</v>
      </c>
      <c r="P165" s="6" t="s">
        <v>27</v>
      </c>
      <c r="Q165" s="6" t="s">
        <v>52</v>
      </c>
      <c r="R165" s="4">
        <v>43994</v>
      </c>
      <c r="S165" s="6" t="s">
        <v>29</v>
      </c>
      <c r="T165" s="6" t="s">
        <v>65</v>
      </c>
    </row>
    <row r="166" spans="1:20" x14ac:dyDescent="0.35">
      <c r="A166" s="4">
        <v>43933</v>
      </c>
      <c r="B166" s="5">
        <f t="shared" si="10"/>
        <v>2020</v>
      </c>
      <c r="C166" s="5">
        <f t="shared" si="11"/>
        <v>4</v>
      </c>
      <c r="D166" s="5">
        <f t="shared" si="12"/>
        <v>12</v>
      </c>
      <c r="E166" s="5" t="str">
        <f t="shared" si="13"/>
        <v>April</v>
      </c>
      <c r="F166" s="6" t="s">
        <v>66</v>
      </c>
      <c r="G166" s="6" t="s">
        <v>67</v>
      </c>
      <c r="H166" s="6" t="s">
        <v>191</v>
      </c>
      <c r="I166" s="6" t="s">
        <v>192</v>
      </c>
      <c r="J166" s="6" t="s">
        <v>150</v>
      </c>
      <c r="K166" s="6" t="s">
        <v>151</v>
      </c>
      <c r="L166" s="6" t="s">
        <v>193</v>
      </c>
      <c r="M166" s="6">
        <v>5</v>
      </c>
      <c r="N166" s="7">
        <v>9050</v>
      </c>
      <c r="O166" s="7">
        <f t="shared" si="14"/>
        <v>45250</v>
      </c>
      <c r="P166" s="6" t="s">
        <v>27</v>
      </c>
      <c r="Q166" s="6" t="s">
        <v>52</v>
      </c>
      <c r="R166" s="4">
        <v>43994</v>
      </c>
      <c r="S166" s="6" t="s">
        <v>29</v>
      </c>
      <c r="T166" s="6" t="s">
        <v>65</v>
      </c>
    </row>
    <row r="167" spans="1:20" x14ac:dyDescent="0.35">
      <c r="A167" s="4">
        <v>43933</v>
      </c>
      <c r="B167" s="5">
        <f t="shared" si="10"/>
        <v>2020</v>
      </c>
      <c r="C167" s="5">
        <f t="shared" si="11"/>
        <v>4</v>
      </c>
      <c r="D167" s="5">
        <f t="shared" si="12"/>
        <v>12</v>
      </c>
      <c r="E167" s="5" t="str">
        <f t="shared" si="13"/>
        <v>April</v>
      </c>
      <c r="F167" s="6" t="s">
        <v>66</v>
      </c>
      <c r="G167" s="6" t="s">
        <v>67</v>
      </c>
      <c r="H167" s="6" t="s">
        <v>293</v>
      </c>
      <c r="I167" s="6" t="s">
        <v>294</v>
      </c>
      <c r="J167" s="6" t="s">
        <v>150</v>
      </c>
      <c r="K167" s="6" t="s">
        <v>157</v>
      </c>
      <c r="L167" s="6" t="s">
        <v>295</v>
      </c>
      <c r="M167" s="6">
        <v>3</v>
      </c>
      <c r="N167" s="7">
        <v>5100</v>
      </c>
      <c r="O167" s="7">
        <f t="shared" si="14"/>
        <v>15300</v>
      </c>
      <c r="P167" s="6" t="s">
        <v>27</v>
      </c>
      <c r="Q167" s="6" t="s">
        <v>52</v>
      </c>
      <c r="R167" s="4">
        <v>43994</v>
      </c>
      <c r="S167" s="6" t="s">
        <v>29</v>
      </c>
      <c r="T167" s="6" t="s">
        <v>65</v>
      </c>
    </row>
    <row r="168" spans="1:20" x14ac:dyDescent="0.35">
      <c r="A168" s="4">
        <v>43933</v>
      </c>
      <c r="B168" s="5">
        <f t="shared" si="10"/>
        <v>2020</v>
      </c>
      <c r="C168" s="5">
        <f t="shared" si="11"/>
        <v>4</v>
      </c>
      <c r="D168" s="5">
        <f t="shared" si="12"/>
        <v>12</v>
      </c>
      <c r="E168" s="5" t="str">
        <f t="shared" si="13"/>
        <v>April</v>
      </c>
      <c r="F168" s="6" t="s">
        <v>66</v>
      </c>
      <c r="G168" s="6" t="s">
        <v>67</v>
      </c>
      <c r="H168" s="6" t="s">
        <v>200</v>
      </c>
      <c r="I168" s="6" t="s">
        <v>201</v>
      </c>
      <c r="J168" s="6" t="s">
        <v>150</v>
      </c>
      <c r="K168" s="6" t="s">
        <v>166</v>
      </c>
      <c r="L168" s="6" t="s">
        <v>296</v>
      </c>
      <c r="M168" s="6">
        <v>3</v>
      </c>
      <c r="N168" s="7">
        <v>11300</v>
      </c>
      <c r="O168" s="7">
        <f t="shared" si="14"/>
        <v>33900</v>
      </c>
      <c r="P168" s="6" t="s">
        <v>27</v>
      </c>
      <c r="Q168" s="6" t="s">
        <v>52</v>
      </c>
      <c r="R168" s="4">
        <v>43994</v>
      </c>
      <c r="S168" s="6" t="s">
        <v>29</v>
      </c>
      <c r="T168" s="6" t="s">
        <v>65</v>
      </c>
    </row>
    <row r="169" spans="1:20" x14ac:dyDescent="0.35">
      <c r="A169" s="4">
        <v>43933</v>
      </c>
      <c r="B169" s="5">
        <f t="shared" si="10"/>
        <v>2020</v>
      </c>
      <c r="C169" s="5">
        <f t="shared" si="11"/>
        <v>4</v>
      </c>
      <c r="D169" s="5">
        <f t="shared" si="12"/>
        <v>12</v>
      </c>
      <c r="E169" s="5" t="str">
        <f t="shared" si="13"/>
        <v>April</v>
      </c>
      <c r="F169" s="6" t="s">
        <v>66</v>
      </c>
      <c r="G169" s="6" t="s">
        <v>67</v>
      </c>
      <c r="H169" s="6" t="s">
        <v>200</v>
      </c>
      <c r="I169" s="6" t="s">
        <v>201</v>
      </c>
      <c r="J169" s="6" t="s">
        <v>150</v>
      </c>
      <c r="K169" s="6" t="s">
        <v>166</v>
      </c>
      <c r="L169" s="6" t="s">
        <v>202</v>
      </c>
      <c r="M169" s="6">
        <v>5</v>
      </c>
      <c r="N169" s="7">
        <v>6500</v>
      </c>
      <c r="O169" s="7">
        <f t="shared" si="14"/>
        <v>32500</v>
      </c>
      <c r="P169" s="6" t="s">
        <v>27</v>
      </c>
      <c r="Q169" s="6" t="s">
        <v>52</v>
      </c>
      <c r="R169" s="4">
        <v>43994</v>
      </c>
      <c r="S169" s="6" t="s">
        <v>29</v>
      </c>
      <c r="T169" s="6" t="s">
        <v>36</v>
      </c>
    </row>
    <row r="170" spans="1:20" x14ac:dyDescent="0.35">
      <c r="A170" s="4">
        <v>43933</v>
      </c>
      <c r="B170" s="5">
        <f t="shared" si="10"/>
        <v>2020</v>
      </c>
      <c r="C170" s="5">
        <f t="shared" si="11"/>
        <v>4</v>
      </c>
      <c r="D170" s="5">
        <f t="shared" si="12"/>
        <v>12</v>
      </c>
      <c r="E170" s="5" t="str">
        <f t="shared" si="13"/>
        <v>April</v>
      </c>
      <c r="F170" s="6" t="s">
        <v>66</v>
      </c>
      <c r="G170" s="6" t="s">
        <v>67</v>
      </c>
      <c r="H170" s="6" t="s">
        <v>200</v>
      </c>
      <c r="I170" s="6" t="s">
        <v>286</v>
      </c>
      <c r="J170" s="6" t="s">
        <v>150</v>
      </c>
      <c r="K170" s="6" t="s">
        <v>166</v>
      </c>
      <c r="L170" s="6" t="s">
        <v>297</v>
      </c>
      <c r="M170" s="6">
        <v>3</v>
      </c>
      <c r="N170" s="7">
        <v>11120</v>
      </c>
      <c r="O170" s="7">
        <f t="shared" si="14"/>
        <v>33360</v>
      </c>
      <c r="P170" s="6" t="s">
        <v>27</v>
      </c>
      <c r="Q170" s="6" t="s">
        <v>52</v>
      </c>
      <c r="R170" s="4">
        <v>43994</v>
      </c>
      <c r="S170" s="6" t="s">
        <v>29</v>
      </c>
      <c r="T170" s="6" t="s">
        <v>36</v>
      </c>
    </row>
    <row r="171" spans="1:20" x14ac:dyDescent="0.35">
      <c r="A171" s="4">
        <v>43933</v>
      </c>
      <c r="B171" s="5">
        <f t="shared" si="10"/>
        <v>2020</v>
      </c>
      <c r="C171" s="5">
        <f t="shared" si="11"/>
        <v>4</v>
      </c>
      <c r="D171" s="5">
        <f t="shared" si="12"/>
        <v>12</v>
      </c>
      <c r="E171" s="5" t="str">
        <f t="shared" si="13"/>
        <v>April</v>
      </c>
      <c r="F171" s="6" t="s">
        <v>66</v>
      </c>
      <c r="G171" s="6" t="s">
        <v>67</v>
      </c>
      <c r="H171" s="6" t="s">
        <v>164</v>
      </c>
      <c r="I171" s="6" t="s">
        <v>165</v>
      </c>
      <c r="J171" s="6" t="s">
        <v>150</v>
      </c>
      <c r="K171" s="6" t="s">
        <v>166</v>
      </c>
      <c r="L171" s="6" t="s">
        <v>167</v>
      </c>
      <c r="M171" s="6">
        <v>2</v>
      </c>
      <c r="N171" s="7">
        <v>7800</v>
      </c>
      <c r="O171" s="7">
        <f t="shared" si="14"/>
        <v>15600</v>
      </c>
      <c r="P171" s="6" t="s">
        <v>27</v>
      </c>
      <c r="Q171" s="6" t="s">
        <v>52</v>
      </c>
      <c r="R171" s="4">
        <v>43994</v>
      </c>
      <c r="S171" s="6" t="s">
        <v>29</v>
      </c>
      <c r="T171" s="6" t="s">
        <v>36</v>
      </c>
    </row>
    <row r="172" spans="1:20" x14ac:dyDescent="0.35">
      <c r="A172" s="4">
        <v>43933</v>
      </c>
      <c r="B172" s="5">
        <f t="shared" si="10"/>
        <v>2020</v>
      </c>
      <c r="C172" s="5">
        <f t="shared" si="11"/>
        <v>4</v>
      </c>
      <c r="D172" s="5">
        <f t="shared" si="12"/>
        <v>12</v>
      </c>
      <c r="E172" s="5" t="str">
        <f t="shared" si="13"/>
        <v>April</v>
      </c>
      <c r="F172" s="6" t="s">
        <v>66</v>
      </c>
      <c r="G172" s="6" t="s">
        <v>67</v>
      </c>
      <c r="H172" s="6" t="s">
        <v>164</v>
      </c>
      <c r="I172" s="6" t="s">
        <v>165</v>
      </c>
      <c r="J172" s="6" t="s">
        <v>150</v>
      </c>
      <c r="K172" s="6" t="s">
        <v>166</v>
      </c>
      <c r="L172" s="6" t="s">
        <v>211</v>
      </c>
      <c r="M172" s="6">
        <v>4</v>
      </c>
      <c r="N172" s="7">
        <v>8500</v>
      </c>
      <c r="O172" s="7">
        <f t="shared" si="14"/>
        <v>34000</v>
      </c>
      <c r="P172" s="6" t="s">
        <v>27</v>
      </c>
      <c r="Q172" s="6" t="s">
        <v>52</v>
      </c>
      <c r="R172" s="4">
        <v>43994</v>
      </c>
      <c r="S172" s="6" t="s">
        <v>29</v>
      </c>
      <c r="T172" s="6" t="s">
        <v>36</v>
      </c>
    </row>
    <row r="173" spans="1:20" x14ac:dyDescent="0.35">
      <c r="A173" s="4">
        <v>43933</v>
      </c>
      <c r="B173" s="5">
        <f t="shared" si="10"/>
        <v>2020</v>
      </c>
      <c r="C173" s="5">
        <f t="shared" si="11"/>
        <v>4</v>
      </c>
      <c r="D173" s="5">
        <f t="shared" si="12"/>
        <v>12</v>
      </c>
      <c r="E173" s="5" t="str">
        <f t="shared" si="13"/>
        <v>April</v>
      </c>
      <c r="F173" s="6" t="s">
        <v>66</v>
      </c>
      <c r="G173" s="6" t="s">
        <v>67</v>
      </c>
      <c r="H173" s="6" t="s">
        <v>164</v>
      </c>
      <c r="I173" s="6" t="s">
        <v>165</v>
      </c>
      <c r="J173" s="6" t="s">
        <v>150</v>
      </c>
      <c r="K173" s="6" t="s">
        <v>166</v>
      </c>
      <c r="L173" s="6" t="s">
        <v>239</v>
      </c>
      <c r="M173" s="6">
        <v>3</v>
      </c>
      <c r="N173" s="7">
        <v>6350</v>
      </c>
      <c r="O173" s="7">
        <f t="shared" si="14"/>
        <v>19050</v>
      </c>
      <c r="P173" s="6" t="s">
        <v>27</v>
      </c>
      <c r="Q173" s="6" t="s">
        <v>52</v>
      </c>
      <c r="R173" s="4">
        <v>43994</v>
      </c>
      <c r="S173" s="6" t="s">
        <v>29</v>
      </c>
      <c r="T173" s="6" t="s">
        <v>36</v>
      </c>
    </row>
    <row r="174" spans="1:20" x14ac:dyDescent="0.35">
      <c r="A174" s="4">
        <v>43933</v>
      </c>
      <c r="B174" s="5">
        <f t="shared" si="10"/>
        <v>2020</v>
      </c>
      <c r="C174" s="5">
        <f t="shared" si="11"/>
        <v>4</v>
      </c>
      <c r="D174" s="5">
        <f t="shared" si="12"/>
        <v>12</v>
      </c>
      <c r="E174" s="5" t="str">
        <f t="shared" si="13"/>
        <v>April</v>
      </c>
      <c r="F174" s="6" t="s">
        <v>66</v>
      </c>
      <c r="G174" s="6" t="s">
        <v>67</v>
      </c>
      <c r="H174" s="6" t="s">
        <v>164</v>
      </c>
      <c r="I174" s="6" t="s">
        <v>195</v>
      </c>
      <c r="J174" s="6" t="s">
        <v>150</v>
      </c>
      <c r="K174" s="6" t="s">
        <v>166</v>
      </c>
      <c r="L174" s="6" t="s">
        <v>196</v>
      </c>
      <c r="M174" s="6">
        <v>1</v>
      </c>
      <c r="N174" s="7">
        <v>11000</v>
      </c>
      <c r="O174" s="7">
        <f t="shared" si="14"/>
        <v>11000</v>
      </c>
      <c r="P174" s="6" t="s">
        <v>27</v>
      </c>
      <c r="Q174" s="6" t="s">
        <v>52</v>
      </c>
      <c r="R174" s="4">
        <v>43994</v>
      </c>
      <c r="S174" s="6" t="s">
        <v>29</v>
      </c>
      <c r="T174" s="6" t="s">
        <v>36</v>
      </c>
    </row>
    <row r="175" spans="1:20" x14ac:dyDescent="0.35">
      <c r="A175" s="4">
        <v>43933</v>
      </c>
      <c r="B175" s="5">
        <f t="shared" si="10"/>
        <v>2020</v>
      </c>
      <c r="C175" s="5">
        <f t="shared" si="11"/>
        <v>4</v>
      </c>
      <c r="D175" s="5">
        <f t="shared" si="12"/>
        <v>12</v>
      </c>
      <c r="E175" s="5" t="str">
        <f t="shared" si="13"/>
        <v>April</v>
      </c>
      <c r="F175" s="6" t="s">
        <v>66</v>
      </c>
      <c r="G175" s="6" t="s">
        <v>67</v>
      </c>
      <c r="H175" s="6" t="s">
        <v>298</v>
      </c>
      <c r="I175" s="6" t="s">
        <v>299</v>
      </c>
      <c r="J175" s="6" t="s">
        <v>150</v>
      </c>
      <c r="K175" s="6" t="s">
        <v>282</v>
      </c>
      <c r="L175" s="6" t="s">
        <v>300</v>
      </c>
      <c r="M175" s="6">
        <v>1</v>
      </c>
      <c r="N175" s="7">
        <v>3680</v>
      </c>
      <c r="O175" s="7">
        <f t="shared" si="14"/>
        <v>3680</v>
      </c>
      <c r="P175" s="6" t="s">
        <v>27</v>
      </c>
      <c r="Q175" s="6" t="s">
        <v>52</v>
      </c>
      <c r="R175" s="4">
        <v>43994</v>
      </c>
      <c r="S175" s="6" t="s">
        <v>29</v>
      </c>
      <c r="T175" s="6" t="s">
        <v>36</v>
      </c>
    </row>
    <row r="176" spans="1:20" x14ac:dyDescent="0.35">
      <c r="A176" s="4">
        <v>43933</v>
      </c>
      <c r="B176" s="5">
        <f t="shared" si="10"/>
        <v>2020</v>
      </c>
      <c r="C176" s="5">
        <f t="shared" si="11"/>
        <v>4</v>
      </c>
      <c r="D176" s="5">
        <f t="shared" si="12"/>
        <v>12</v>
      </c>
      <c r="E176" s="5" t="str">
        <f t="shared" si="13"/>
        <v>April</v>
      </c>
      <c r="F176" s="6" t="s">
        <v>66</v>
      </c>
      <c r="G176" s="6" t="s">
        <v>67</v>
      </c>
      <c r="H176" s="6" t="s">
        <v>298</v>
      </c>
      <c r="I176" s="6" t="s">
        <v>299</v>
      </c>
      <c r="J176" s="6" t="s">
        <v>150</v>
      </c>
      <c r="K176" s="6" t="s">
        <v>282</v>
      </c>
      <c r="L176" s="6" t="s">
        <v>301</v>
      </c>
      <c r="M176" s="6">
        <v>3</v>
      </c>
      <c r="N176" s="7">
        <v>1120</v>
      </c>
      <c r="O176" s="7">
        <f t="shared" si="14"/>
        <v>3360</v>
      </c>
      <c r="P176" s="6" t="s">
        <v>27</v>
      </c>
      <c r="Q176" s="6" t="s">
        <v>52</v>
      </c>
      <c r="R176" s="4">
        <v>43994</v>
      </c>
      <c r="S176" s="6" t="s">
        <v>29</v>
      </c>
      <c r="T176" s="6" t="s">
        <v>36</v>
      </c>
    </row>
    <row r="177" spans="1:20" x14ac:dyDescent="0.35">
      <c r="A177" s="4">
        <v>43933</v>
      </c>
      <c r="B177" s="5">
        <f t="shared" si="10"/>
        <v>2020</v>
      </c>
      <c r="C177" s="5">
        <f t="shared" si="11"/>
        <v>4</v>
      </c>
      <c r="D177" s="5">
        <f t="shared" si="12"/>
        <v>12</v>
      </c>
      <c r="E177" s="5" t="str">
        <f t="shared" si="13"/>
        <v>April</v>
      </c>
      <c r="F177" s="6" t="s">
        <v>66</v>
      </c>
      <c r="G177" s="6" t="s">
        <v>67</v>
      </c>
      <c r="H177" s="6" t="s">
        <v>44</v>
      </c>
      <c r="I177" s="6" t="s">
        <v>149</v>
      </c>
      <c r="J177" s="6" t="s">
        <v>150</v>
      </c>
      <c r="K177" s="6" t="s">
        <v>151</v>
      </c>
      <c r="L177" s="6" t="s">
        <v>266</v>
      </c>
      <c r="M177" s="6">
        <v>3</v>
      </c>
      <c r="N177" s="7">
        <v>13600</v>
      </c>
      <c r="O177" s="7">
        <f t="shared" si="14"/>
        <v>40800</v>
      </c>
      <c r="P177" s="6" t="s">
        <v>27</v>
      </c>
      <c r="Q177" s="6" t="s">
        <v>52</v>
      </c>
      <c r="R177" s="4">
        <v>43994</v>
      </c>
      <c r="S177" s="6" t="s">
        <v>29</v>
      </c>
      <c r="T177" s="6" t="s">
        <v>36</v>
      </c>
    </row>
    <row r="178" spans="1:20" x14ac:dyDescent="0.35">
      <c r="A178" s="4">
        <v>43933</v>
      </c>
      <c r="B178" s="5">
        <f t="shared" si="10"/>
        <v>2020</v>
      </c>
      <c r="C178" s="5">
        <f t="shared" si="11"/>
        <v>4</v>
      </c>
      <c r="D178" s="5">
        <f t="shared" si="12"/>
        <v>12</v>
      </c>
      <c r="E178" s="5" t="str">
        <f t="shared" si="13"/>
        <v>April</v>
      </c>
      <c r="F178" s="6" t="s">
        <v>66</v>
      </c>
      <c r="G178" s="6" t="s">
        <v>67</v>
      </c>
      <c r="H178" s="6" t="s">
        <v>44</v>
      </c>
      <c r="I178" s="6" t="s">
        <v>149</v>
      </c>
      <c r="J178" s="6" t="s">
        <v>150</v>
      </c>
      <c r="K178" s="6" t="s">
        <v>151</v>
      </c>
      <c r="L178" s="6" t="s">
        <v>152</v>
      </c>
      <c r="M178" s="6">
        <v>5</v>
      </c>
      <c r="N178" s="7">
        <v>11200</v>
      </c>
      <c r="O178" s="7">
        <f t="shared" si="14"/>
        <v>56000</v>
      </c>
      <c r="P178" s="6" t="s">
        <v>27</v>
      </c>
      <c r="Q178" s="6" t="s">
        <v>52</v>
      </c>
      <c r="R178" s="4">
        <v>43994</v>
      </c>
      <c r="S178" s="6" t="s">
        <v>29</v>
      </c>
      <c r="T178" s="6" t="s">
        <v>36</v>
      </c>
    </row>
    <row r="179" spans="1:20" x14ac:dyDescent="0.35">
      <c r="A179" s="4">
        <v>43933</v>
      </c>
      <c r="B179" s="5">
        <f t="shared" si="10"/>
        <v>2020</v>
      </c>
      <c r="C179" s="5">
        <f t="shared" si="11"/>
        <v>4</v>
      </c>
      <c r="D179" s="5">
        <f t="shared" si="12"/>
        <v>12</v>
      </c>
      <c r="E179" s="5" t="str">
        <f t="shared" si="13"/>
        <v>April</v>
      </c>
      <c r="F179" s="6" t="s">
        <v>66</v>
      </c>
      <c r="G179" s="6" t="s">
        <v>67</v>
      </c>
      <c r="H179" s="6" t="s">
        <v>39</v>
      </c>
      <c r="I179" s="6" t="s">
        <v>172</v>
      </c>
      <c r="J179" s="6" t="s">
        <v>150</v>
      </c>
      <c r="K179" s="6" t="s">
        <v>166</v>
      </c>
      <c r="L179" s="6" t="s">
        <v>203</v>
      </c>
      <c r="M179" s="6">
        <v>2</v>
      </c>
      <c r="N179" s="7">
        <v>3750</v>
      </c>
      <c r="O179" s="7">
        <f t="shared" si="14"/>
        <v>7500</v>
      </c>
      <c r="P179" s="6" t="s">
        <v>27</v>
      </c>
      <c r="Q179" s="6" t="s">
        <v>52</v>
      </c>
      <c r="R179" s="4">
        <v>43994</v>
      </c>
      <c r="S179" s="6" t="s">
        <v>29</v>
      </c>
      <c r="T179" s="6" t="s">
        <v>36</v>
      </c>
    </row>
    <row r="180" spans="1:20" x14ac:dyDescent="0.35">
      <c r="A180" s="4">
        <v>43933</v>
      </c>
      <c r="B180" s="5">
        <f t="shared" si="10"/>
        <v>2020</v>
      </c>
      <c r="C180" s="5">
        <f t="shared" si="11"/>
        <v>4</v>
      </c>
      <c r="D180" s="5">
        <f t="shared" si="12"/>
        <v>12</v>
      </c>
      <c r="E180" s="5" t="str">
        <f t="shared" si="13"/>
        <v>April</v>
      </c>
      <c r="F180" s="6" t="s">
        <v>66</v>
      </c>
      <c r="G180" s="6" t="s">
        <v>67</v>
      </c>
      <c r="H180" s="6" t="s">
        <v>39</v>
      </c>
      <c r="I180" s="6" t="s">
        <v>172</v>
      </c>
      <c r="J180" s="6" t="s">
        <v>150</v>
      </c>
      <c r="K180" s="6" t="s">
        <v>166</v>
      </c>
      <c r="L180" s="6" t="s">
        <v>302</v>
      </c>
      <c r="M180" s="6">
        <v>4</v>
      </c>
      <c r="N180" s="7">
        <v>8900</v>
      </c>
      <c r="O180" s="7">
        <f t="shared" si="14"/>
        <v>35600</v>
      </c>
      <c r="P180" s="6" t="s">
        <v>27</v>
      </c>
      <c r="Q180" s="6" t="s">
        <v>52</v>
      </c>
      <c r="R180" s="4">
        <v>43994</v>
      </c>
      <c r="S180" s="6" t="s">
        <v>29</v>
      </c>
      <c r="T180" s="6" t="s">
        <v>36</v>
      </c>
    </row>
    <row r="181" spans="1:20" x14ac:dyDescent="0.35">
      <c r="A181" s="4">
        <v>43933</v>
      </c>
      <c r="B181" s="5">
        <f t="shared" si="10"/>
        <v>2020</v>
      </c>
      <c r="C181" s="5">
        <f t="shared" si="11"/>
        <v>4</v>
      </c>
      <c r="D181" s="5">
        <f t="shared" si="12"/>
        <v>12</v>
      </c>
      <c r="E181" s="5" t="str">
        <f t="shared" si="13"/>
        <v>April</v>
      </c>
      <c r="F181" s="6" t="s">
        <v>66</v>
      </c>
      <c r="G181" s="6" t="s">
        <v>67</v>
      </c>
      <c r="H181" s="6" t="s">
        <v>39</v>
      </c>
      <c r="I181" s="6" t="s">
        <v>268</v>
      </c>
      <c r="J181" s="6" t="s">
        <v>150</v>
      </c>
      <c r="K181" s="6" t="s">
        <v>166</v>
      </c>
      <c r="L181" s="6" t="s">
        <v>269</v>
      </c>
      <c r="M181" s="6">
        <v>3</v>
      </c>
      <c r="N181" s="7">
        <v>8800</v>
      </c>
      <c r="O181" s="7">
        <f t="shared" si="14"/>
        <v>26400</v>
      </c>
      <c r="P181" s="6" t="s">
        <v>27</v>
      </c>
      <c r="Q181" s="6" t="s">
        <v>52</v>
      </c>
      <c r="R181" s="4">
        <v>43994</v>
      </c>
      <c r="S181" s="6" t="s">
        <v>29</v>
      </c>
      <c r="T181" s="6" t="s">
        <v>36</v>
      </c>
    </row>
    <row r="182" spans="1:20" x14ac:dyDescent="0.35">
      <c r="A182" s="4">
        <v>43933</v>
      </c>
      <c r="B182" s="5">
        <f t="shared" si="10"/>
        <v>2020</v>
      </c>
      <c r="C182" s="5">
        <f t="shared" si="11"/>
        <v>4</v>
      </c>
      <c r="D182" s="5">
        <f t="shared" si="12"/>
        <v>12</v>
      </c>
      <c r="E182" s="5" t="str">
        <f t="shared" si="13"/>
        <v>April</v>
      </c>
      <c r="F182" s="6" t="s">
        <v>66</v>
      </c>
      <c r="G182" s="6" t="s">
        <v>67</v>
      </c>
      <c r="H182" s="6" t="s">
        <v>176</v>
      </c>
      <c r="I182" s="6" t="s">
        <v>177</v>
      </c>
      <c r="J182" s="6" t="s">
        <v>150</v>
      </c>
      <c r="K182" s="6" t="s">
        <v>157</v>
      </c>
      <c r="L182" s="6" t="s">
        <v>291</v>
      </c>
      <c r="M182" s="6">
        <v>3</v>
      </c>
      <c r="N182" s="6">
        <v>700</v>
      </c>
      <c r="O182" s="7">
        <f t="shared" si="14"/>
        <v>2100</v>
      </c>
      <c r="P182" s="6" t="s">
        <v>27</v>
      </c>
      <c r="Q182" s="6" t="s">
        <v>52</v>
      </c>
      <c r="R182" s="4">
        <v>43994</v>
      </c>
      <c r="S182" s="6" t="s">
        <v>29</v>
      </c>
      <c r="T182" s="6" t="s">
        <v>36</v>
      </c>
    </row>
    <row r="183" spans="1:20" x14ac:dyDescent="0.35">
      <c r="A183" s="4">
        <v>43933</v>
      </c>
      <c r="B183" s="5">
        <f t="shared" si="10"/>
        <v>2020</v>
      </c>
      <c r="C183" s="5">
        <f t="shared" si="11"/>
        <v>4</v>
      </c>
      <c r="D183" s="5">
        <f t="shared" si="12"/>
        <v>12</v>
      </c>
      <c r="E183" s="5" t="str">
        <f t="shared" si="13"/>
        <v>April</v>
      </c>
      <c r="F183" s="6" t="s">
        <v>66</v>
      </c>
      <c r="G183" s="6" t="s">
        <v>67</v>
      </c>
      <c r="H183" s="6" t="s">
        <v>176</v>
      </c>
      <c r="I183" s="6" t="s">
        <v>177</v>
      </c>
      <c r="J183" s="6" t="s">
        <v>150</v>
      </c>
      <c r="K183" s="6" t="s">
        <v>157</v>
      </c>
      <c r="L183" s="6" t="s">
        <v>178</v>
      </c>
      <c r="M183" s="6">
        <v>5</v>
      </c>
      <c r="N183" s="7">
        <v>2000</v>
      </c>
      <c r="O183" s="7">
        <f t="shared" si="14"/>
        <v>10000</v>
      </c>
      <c r="P183" s="6" t="s">
        <v>27</v>
      </c>
      <c r="Q183" s="6" t="s">
        <v>52</v>
      </c>
      <c r="R183" s="4">
        <v>43994</v>
      </c>
      <c r="S183" s="6" t="s">
        <v>29</v>
      </c>
      <c r="T183" s="6" t="s">
        <v>36</v>
      </c>
    </row>
    <row r="184" spans="1:20" x14ac:dyDescent="0.35">
      <c r="A184" s="4">
        <v>43933</v>
      </c>
      <c r="B184" s="5">
        <f t="shared" si="10"/>
        <v>2020</v>
      </c>
      <c r="C184" s="5">
        <f t="shared" si="11"/>
        <v>4</v>
      </c>
      <c r="D184" s="5">
        <f t="shared" si="12"/>
        <v>12</v>
      </c>
      <c r="E184" s="5" t="str">
        <f t="shared" si="13"/>
        <v>April</v>
      </c>
      <c r="F184" s="6" t="s">
        <v>66</v>
      </c>
      <c r="G184" s="6" t="s">
        <v>67</v>
      </c>
      <c r="H184" s="6" t="s">
        <v>176</v>
      </c>
      <c r="I184" s="6" t="s">
        <v>281</v>
      </c>
      <c r="J184" s="6" t="s">
        <v>150</v>
      </c>
      <c r="K184" s="6" t="s">
        <v>282</v>
      </c>
      <c r="L184" s="6" t="s">
        <v>283</v>
      </c>
      <c r="M184" s="6">
        <v>1</v>
      </c>
      <c r="N184" s="7">
        <v>3300</v>
      </c>
      <c r="O184" s="7">
        <f t="shared" si="14"/>
        <v>3300</v>
      </c>
      <c r="P184" s="6" t="s">
        <v>27</v>
      </c>
      <c r="Q184" s="6" t="s">
        <v>52</v>
      </c>
      <c r="R184" s="4">
        <v>43994</v>
      </c>
      <c r="S184" s="6" t="s">
        <v>29</v>
      </c>
      <c r="T184" s="6" t="s">
        <v>36</v>
      </c>
    </row>
    <row r="185" spans="1:20" x14ac:dyDescent="0.35">
      <c r="A185" s="4">
        <v>43933</v>
      </c>
      <c r="B185" s="5">
        <f t="shared" si="10"/>
        <v>2020</v>
      </c>
      <c r="C185" s="5">
        <f t="shared" si="11"/>
        <v>4</v>
      </c>
      <c r="D185" s="5">
        <f t="shared" si="12"/>
        <v>12</v>
      </c>
      <c r="E185" s="5" t="str">
        <f t="shared" si="13"/>
        <v>April</v>
      </c>
      <c r="F185" s="6" t="s">
        <v>66</v>
      </c>
      <c r="G185" s="6" t="s">
        <v>67</v>
      </c>
      <c r="H185" s="6" t="s">
        <v>168</v>
      </c>
      <c r="I185" s="6" t="s">
        <v>169</v>
      </c>
      <c r="J185" s="6" t="s">
        <v>150</v>
      </c>
      <c r="K185" s="6" t="s">
        <v>170</v>
      </c>
      <c r="L185" s="6" t="s">
        <v>171</v>
      </c>
      <c r="M185" s="6">
        <v>1</v>
      </c>
      <c r="N185" s="7">
        <v>3000</v>
      </c>
      <c r="O185" s="7">
        <f t="shared" si="14"/>
        <v>3000</v>
      </c>
      <c r="P185" s="6" t="s">
        <v>27</v>
      </c>
      <c r="Q185" s="6" t="s">
        <v>52</v>
      </c>
      <c r="R185" s="4">
        <v>43994</v>
      </c>
      <c r="S185" s="6" t="s">
        <v>29</v>
      </c>
      <c r="T185" s="6" t="s">
        <v>36</v>
      </c>
    </row>
    <row r="186" spans="1:20" x14ac:dyDescent="0.35">
      <c r="A186" s="4">
        <v>43933</v>
      </c>
      <c r="B186" s="5">
        <f t="shared" si="10"/>
        <v>2020</v>
      </c>
      <c r="C186" s="5">
        <f t="shared" si="11"/>
        <v>4</v>
      </c>
      <c r="D186" s="5">
        <f t="shared" si="12"/>
        <v>12</v>
      </c>
      <c r="E186" s="5" t="str">
        <f t="shared" si="13"/>
        <v>April</v>
      </c>
      <c r="F186" s="6" t="s">
        <v>66</v>
      </c>
      <c r="G186" s="6" t="s">
        <v>67</v>
      </c>
      <c r="H186" s="6" t="s">
        <v>168</v>
      </c>
      <c r="I186" s="6" t="s">
        <v>169</v>
      </c>
      <c r="J186" s="6" t="s">
        <v>150</v>
      </c>
      <c r="K186" s="6" t="s">
        <v>170</v>
      </c>
      <c r="L186" s="6" t="s">
        <v>185</v>
      </c>
      <c r="M186" s="6">
        <v>1</v>
      </c>
      <c r="N186" s="7">
        <v>3000</v>
      </c>
      <c r="O186" s="7">
        <f t="shared" si="14"/>
        <v>3000</v>
      </c>
      <c r="P186" s="6" t="s">
        <v>27</v>
      </c>
      <c r="Q186" s="6" t="s">
        <v>52</v>
      </c>
      <c r="R186" s="4">
        <v>43994</v>
      </c>
      <c r="S186" s="6" t="s">
        <v>29</v>
      </c>
      <c r="T186" s="6" t="s">
        <v>36</v>
      </c>
    </row>
    <row r="187" spans="1:20" x14ac:dyDescent="0.35">
      <c r="A187" s="4">
        <v>43963</v>
      </c>
      <c r="B187" s="5">
        <f t="shared" si="10"/>
        <v>2020</v>
      </c>
      <c r="C187" s="5">
        <f t="shared" si="11"/>
        <v>5</v>
      </c>
      <c r="D187" s="5">
        <f t="shared" si="12"/>
        <v>12</v>
      </c>
      <c r="E187" s="5" t="str">
        <f t="shared" si="13"/>
        <v>May</v>
      </c>
      <c r="F187" s="6" t="s">
        <v>303</v>
      </c>
      <c r="G187" s="6" t="s">
        <v>304</v>
      </c>
      <c r="H187" s="6" t="s">
        <v>200</v>
      </c>
      <c r="I187" s="6" t="s">
        <v>286</v>
      </c>
      <c r="J187" s="6" t="s">
        <v>150</v>
      </c>
      <c r="K187" s="6" t="s">
        <v>166</v>
      </c>
      <c r="L187" s="6" t="s">
        <v>287</v>
      </c>
      <c r="M187" s="6">
        <v>1</v>
      </c>
      <c r="N187" s="7">
        <v>23680</v>
      </c>
      <c r="O187" s="7">
        <f t="shared" si="14"/>
        <v>23680</v>
      </c>
      <c r="P187" s="6" t="s">
        <v>27</v>
      </c>
      <c r="Q187" s="6" t="s">
        <v>305</v>
      </c>
      <c r="R187" s="4">
        <v>44024</v>
      </c>
      <c r="S187" s="6" t="s">
        <v>29</v>
      </c>
      <c r="T187" s="6" t="s">
        <v>30</v>
      </c>
    </row>
    <row r="188" spans="1:20" x14ac:dyDescent="0.35">
      <c r="A188" s="4">
        <v>43963</v>
      </c>
      <c r="B188" s="5">
        <f t="shared" si="10"/>
        <v>2020</v>
      </c>
      <c r="C188" s="5">
        <f t="shared" si="11"/>
        <v>5</v>
      </c>
      <c r="D188" s="5">
        <f t="shared" si="12"/>
        <v>12</v>
      </c>
      <c r="E188" s="5" t="str">
        <f t="shared" si="13"/>
        <v>May</v>
      </c>
      <c r="F188" s="6" t="s">
        <v>306</v>
      </c>
      <c r="G188" s="6" t="s">
        <v>21</v>
      </c>
      <c r="H188" s="6" t="s">
        <v>219</v>
      </c>
      <c r="I188" s="6" t="s">
        <v>220</v>
      </c>
      <c r="J188" s="6" t="s">
        <v>150</v>
      </c>
      <c r="K188" s="6" t="s">
        <v>221</v>
      </c>
      <c r="L188" s="6" t="s">
        <v>307</v>
      </c>
      <c r="M188" s="6">
        <v>50</v>
      </c>
      <c r="N188" s="7">
        <v>2080</v>
      </c>
      <c r="O188" s="7">
        <f t="shared" si="14"/>
        <v>104000</v>
      </c>
      <c r="P188" s="6" t="s">
        <v>27</v>
      </c>
      <c r="Q188" s="6" t="s">
        <v>28</v>
      </c>
      <c r="R188" s="4">
        <v>44024</v>
      </c>
      <c r="S188" s="6" t="s">
        <v>29</v>
      </c>
      <c r="T188" s="6" t="s">
        <v>30</v>
      </c>
    </row>
    <row r="189" spans="1:20" x14ac:dyDescent="0.35">
      <c r="A189" s="4">
        <v>43963</v>
      </c>
      <c r="B189" s="5">
        <f t="shared" si="10"/>
        <v>2020</v>
      </c>
      <c r="C189" s="5">
        <f t="shared" si="11"/>
        <v>5</v>
      </c>
      <c r="D189" s="5">
        <f t="shared" si="12"/>
        <v>12</v>
      </c>
      <c r="E189" s="5" t="str">
        <f t="shared" si="13"/>
        <v>May</v>
      </c>
      <c r="F189" s="6" t="s">
        <v>308</v>
      </c>
      <c r="G189" s="6" t="s">
        <v>309</v>
      </c>
      <c r="H189" s="6" t="s">
        <v>219</v>
      </c>
      <c r="I189" s="6" t="s">
        <v>220</v>
      </c>
      <c r="J189" s="6" t="s">
        <v>150</v>
      </c>
      <c r="K189" s="6" t="s">
        <v>221</v>
      </c>
      <c r="L189" s="6" t="s">
        <v>307</v>
      </c>
      <c r="M189" s="6">
        <v>15</v>
      </c>
      <c r="N189" s="7">
        <v>2080</v>
      </c>
      <c r="O189" s="7">
        <f t="shared" si="14"/>
        <v>31200</v>
      </c>
      <c r="P189" s="6" t="s">
        <v>27</v>
      </c>
      <c r="Q189" s="6" t="s">
        <v>310</v>
      </c>
      <c r="R189" s="4">
        <v>44024</v>
      </c>
      <c r="S189" s="6" t="s">
        <v>29</v>
      </c>
      <c r="T189" s="6" t="s">
        <v>30</v>
      </c>
    </row>
    <row r="190" spans="1:20" x14ac:dyDescent="0.35">
      <c r="A190" s="4">
        <v>43963</v>
      </c>
      <c r="B190" s="5">
        <f t="shared" si="10"/>
        <v>2020</v>
      </c>
      <c r="C190" s="5">
        <f t="shared" si="11"/>
        <v>5</v>
      </c>
      <c r="D190" s="5">
        <f t="shared" si="12"/>
        <v>12</v>
      </c>
      <c r="E190" s="5" t="str">
        <f t="shared" si="13"/>
        <v>May</v>
      </c>
      <c r="F190" s="6" t="s">
        <v>311</v>
      </c>
      <c r="G190" s="6" t="s">
        <v>312</v>
      </c>
      <c r="H190" s="6" t="s">
        <v>44</v>
      </c>
      <c r="I190" s="6" t="s">
        <v>149</v>
      </c>
      <c r="J190" s="6" t="s">
        <v>150</v>
      </c>
      <c r="K190" s="6" t="s">
        <v>151</v>
      </c>
      <c r="L190" s="6" t="s">
        <v>155</v>
      </c>
      <c r="M190" s="6">
        <v>1</v>
      </c>
      <c r="N190" s="7">
        <v>9120</v>
      </c>
      <c r="O190" s="7">
        <f t="shared" si="14"/>
        <v>9120</v>
      </c>
      <c r="P190" s="6" t="s">
        <v>27</v>
      </c>
      <c r="Q190" s="6" t="s">
        <v>238</v>
      </c>
      <c r="R190" s="4">
        <v>44024</v>
      </c>
      <c r="S190" s="6" t="s">
        <v>29</v>
      </c>
      <c r="T190" s="6" t="s">
        <v>30</v>
      </c>
    </row>
    <row r="191" spans="1:20" x14ac:dyDescent="0.35">
      <c r="A191" s="4">
        <v>43963</v>
      </c>
      <c r="B191" s="5">
        <f t="shared" si="10"/>
        <v>2020</v>
      </c>
      <c r="C191" s="5">
        <f t="shared" si="11"/>
        <v>5</v>
      </c>
      <c r="D191" s="5">
        <f t="shared" si="12"/>
        <v>12</v>
      </c>
      <c r="E191" s="5" t="str">
        <f t="shared" si="13"/>
        <v>May</v>
      </c>
      <c r="F191" s="6" t="s">
        <v>313</v>
      </c>
      <c r="G191" s="6" t="s">
        <v>314</v>
      </c>
      <c r="H191" s="6" t="s">
        <v>44</v>
      </c>
      <c r="I191" s="6" t="s">
        <v>149</v>
      </c>
      <c r="J191" s="6" t="s">
        <v>150</v>
      </c>
      <c r="K191" s="6" t="s">
        <v>151</v>
      </c>
      <c r="L191" s="6" t="s">
        <v>155</v>
      </c>
      <c r="M191" s="6">
        <v>10</v>
      </c>
      <c r="N191" s="7">
        <v>9120</v>
      </c>
      <c r="O191" s="7">
        <f t="shared" si="14"/>
        <v>91200</v>
      </c>
      <c r="P191" s="6" t="s">
        <v>27</v>
      </c>
      <c r="Q191" s="6" t="s">
        <v>315</v>
      </c>
      <c r="R191" s="4">
        <v>44024</v>
      </c>
      <c r="S191" s="6" t="s">
        <v>29</v>
      </c>
      <c r="T191" s="6" t="s">
        <v>30</v>
      </c>
    </row>
    <row r="192" spans="1:20" x14ac:dyDescent="0.35">
      <c r="A192" s="4">
        <v>43994</v>
      </c>
      <c r="B192" s="5">
        <f t="shared" si="10"/>
        <v>2020</v>
      </c>
      <c r="C192" s="5">
        <f t="shared" si="11"/>
        <v>6</v>
      </c>
      <c r="D192" s="5">
        <f t="shared" si="12"/>
        <v>12</v>
      </c>
      <c r="E192" s="5" t="str">
        <f t="shared" si="13"/>
        <v>June</v>
      </c>
      <c r="F192" s="6" t="s">
        <v>316</v>
      </c>
      <c r="G192" s="6" t="s">
        <v>314</v>
      </c>
      <c r="H192" s="6" t="s">
        <v>39</v>
      </c>
      <c r="I192" s="6" t="s">
        <v>172</v>
      </c>
      <c r="J192" s="6" t="s">
        <v>150</v>
      </c>
      <c r="K192" s="6" t="s">
        <v>166</v>
      </c>
      <c r="L192" s="6" t="s">
        <v>302</v>
      </c>
      <c r="M192" s="6">
        <v>4</v>
      </c>
      <c r="N192" s="7">
        <v>8900</v>
      </c>
      <c r="O192" s="7">
        <f t="shared" si="14"/>
        <v>35600</v>
      </c>
      <c r="P192" s="6" t="s">
        <v>27</v>
      </c>
      <c r="Q192" s="6" t="s">
        <v>315</v>
      </c>
      <c r="R192" s="4">
        <v>44024</v>
      </c>
      <c r="S192" s="6" t="s">
        <v>29</v>
      </c>
      <c r="T192" s="6" t="s">
        <v>30</v>
      </c>
    </row>
    <row r="193" spans="1:20" x14ac:dyDescent="0.35">
      <c r="A193" s="4">
        <v>43933</v>
      </c>
      <c r="B193" s="5">
        <f t="shared" si="10"/>
        <v>2020</v>
      </c>
      <c r="C193" s="5">
        <f t="shared" si="11"/>
        <v>4</v>
      </c>
      <c r="D193" s="5">
        <f t="shared" si="12"/>
        <v>12</v>
      </c>
      <c r="E193" s="5" t="str">
        <f t="shared" si="13"/>
        <v>April</v>
      </c>
      <c r="F193" s="6" t="s">
        <v>317</v>
      </c>
      <c r="G193" s="6" t="s">
        <v>318</v>
      </c>
      <c r="H193" s="6" t="s">
        <v>44</v>
      </c>
      <c r="I193" s="6" t="s">
        <v>156</v>
      </c>
      <c r="J193" s="6" t="s">
        <v>150</v>
      </c>
      <c r="K193" s="6" t="s">
        <v>157</v>
      </c>
      <c r="L193" s="6" t="s">
        <v>158</v>
      </c>
      <c r="M193" s="6">
        <v>1</v>
      </c>
      <c r="N193" s="7">
        <v>7450</v>
      </c>
      <c r="O193" s="7">
        <f t="shared" si="14"/>
        <v>7450</v>
      </c>
      <c r="P193" s="6" t="s">
        <v>27</v>
      </c>
      <c r="Q193" s="6" t="s">
        <v>319</v>
      </c>
      <c r="R193" s="4">
        <v>44024</v>
      </c>
      <c r="S193" s="6" t="s">
        <v>29</v>
      </c>
      <c r="T193" s="6" t="s">
        <v>36</v>
      </c>
    </row>
    <row r="194" spans="1:20" x14ac:dyDescent="0.35">
      <c r="A194" s="4">
        <v>43933</v>
      </c>
      <c r="B194" s="5">
        <f t="shared" ref="B194:B257" si="15">YEAR(A194)</f>
        <v>2020</v>
      </c>
      <c r="C194" s="5">
        <f t="shared" ref="C194:C257" si="16">MONTH(A194)</f>
        <v>4</v>
      </c>
      <c r="D194" s="5">
        <f t="shared" ref="D194:D257" si="17">DAY(A194)</f>
        <v>12</v>
      </c>
      <c r="E194" s="5" t="str">
        <f t="shared" ref="E194:E257" si="18">TEXT(A194,"MMMM")</f>
        <v>April</v>
      </c>
      <c r="F194" s="6" t="s">
        <v>317</v>
      </c>
      <c r="G194" s="6" t="s">
        <v>318</v>
      </c>
      <c r="H194" s="6" t="s">
        <v>44</v>
      </c>
      <c r="I194" s="6" t="s">
        <v>149</v>
      </c>
      <c r="J194" s="6" t="s">
        <v>150</v>
      </c>
      <c r="K194" s="6" t="s">
        <v>151</v>
      </c>
      <c r="L194" s="6" t="s">
        <v>152</v>
      </c>
      <c r="M194" s="6">
        <v>1</v>
      </c>
      <c r="N194" s="7">
        <v>11200</v>
      </c>
      <c r="O194" s="7">
        <f t="shared" ref="O194:O257" si="19">M194*N194</f>
        <v>11200</v>
      </c>
      <c r="P194" s="6" t="s">
        <v>27</v>
      </c>
      <c r="Q194" s="6" t="s">
        <v>319</v>
      </c>
      <c r="R194" s="4">
        <v>44024</v>
      </c>
      <c r="S194" s="6" t="s">
        <v>29</v>
      </c>
      <c r="T194" s="6" t="s">
        <v>36</v>
      </c>
    </row>
    <row r="195" spans="1:20" x14ac:dyDescent="0.35">
      <c r="A195" s="4">
        <v>43933</v>
      </c>
      <c r="B195" s="5">
        <f t="shared" si="15"/>
        <v>2020</v>
      </c>
      <c r="C195" s="5">
        <f t="shared" si="16"/>
        <v>4</v>
      </c>
      <c r="D195" s="5">
        <f t="shared" si="17"/>
        <v>12</v>
      </c>
      <c r="E195" s="5" t="str">
        <f t="shared" si="18"/>
        <v>April</v>
      </c>
      <c r="F195" s="6" t="s">
        <v>317</v>
      </c>
      <c r="G195" s="6" t="s">
        <v>318</v>
      </c>
      <c r="H195" s="6" t="s">
        <v>176</v>
      </c>
      <c r="I195" s="6" t="s">
        <v>177</v>
      </c>
      <c r="J195" s="6" t="s">
        <v>150</v>
      </c>
      <c r="K195" s="6" t="s">
        <v>157</v>
      </c>
      <c r="L195" s="6" t="s">
        <v>292</v>
      </c>
      <c r="M195" s="6">
        <v>1</v>
      </c>
      <c r="N195" s="7">
        <v>5900</v>
      </c>
      <c r="O195" s="7">
        <f t="shared" si="19"/>
        <v>5900</v>
      </c>
      <c r="P195" s="6" t="s">
        <v>27</v>
      </c>
      <c r="Q195" s="6" t="s">
        <v>319</v>
      </c>
      <c r="R195" s="4">
        <v>44024</v>
      </c>
      <c r="S195" s="6" t="s">
        <v>29</v>
      </c>
      <c r="T195" s="6" t="s">
        <v>36</v>
      </c>
    </row>
    <row r="196" spans="1:20" x14ac:dyDescent="0.35">
      <c r="A196" s="4">
        <v>43933</v>
      </c>
      <c r="B196" s="5">
        <f t="shared" si="15"/>
        <v>2020</v>
      </c>
      <c r="C196" s="5">
        <f t="shared" si="16"/>
        <v>4</v>
      </c>
      <c r="D196" s="5">
        <f t="shared" si="17"/>
        <v>12</v>
      </c>
      <c r="E196" s="5" t="str">
        <f t="shared" si="18"/>
        <v>April</v>
      </c>
      <c r="F196" s="6" t="s">
        <v>317</v>
      </c>
      <c r="G196" s="6" t="s">
        <v>318</v>
      </c>
      <c r="H196" s="6" t="s">
        <v>176</v>
      </c>
      <c r="I196" s="6" t="s">
        <v>177</v>
      </c>
      <c r="J196" s="6" t="s">
        <v>150</v>
      </c>
      <c r="K196" s="6" t="s">
        <v>157</v>
      </c>
      <c r="L196" s="6" t="s">
        <v>178</v>
      </c>
      <c r="M196" s="6">
        <v>1</v>
      </c>
      <c r="N196" s="7">
        <v>2000</v>
      </c>
      <c r="O196" s="7">
        <f t="shared" si="19"/>
        <v>2000</v>
      </c>
      <c r="P196" s="6" t="s">
        <v>27</v>
      </c>
      <c r="Q196" s="6" t="s">
        <v>319</v>
      </c>
      <c r="R196" s="4">
        <v>44024</v>
      </c>
      <c r="S196" s="6" t="s">
        <v>29</v>
      </c>
      <c r="T196" s="6" t="s">
        <v>36</v>
      </c>
    </row>
    <row r="197" spans="1:20" x14ac:dyDescent="0.35">
      <c r="A197" s="4">
        <v>43963</v>
      </c>
      <c r="B197" s="5">
        <f t="shared" si="15"/>
        <v>2020</v>
      </c>
      <c r="C197" s="5">
        <f t="shared" si="16"/>
        <v>5</v>
      </c>
      <c r="D197" s="5">
        <f t="shared" si="17"/>
        <v>12</v>
      </c>
      <c r="E197" s="5" t="str">
        <f t="shared" si="18"/>
        <v>May</v>
      </c>
      <c r="F197" s="6" t="s">
        <v>320</v>
      </c>
      <c r="G197" s="6" t="s">
        <v>160</v>
      </c>
      <c r="H197" s="6" t="s">
        <v>176</v>
      </c>
      <c r="I197" s="6" t="s">
        <v>177</v>
      </c>
      <c r="J197" s="6" t="s">
        <v>150</v>
      </c>
      <c r="K197" s="6" t="s">
        <v>157</v>
      </c>
      <c r="L197" s="6" t="s">
        <v>178</v>
      </c>
      <c r="M197" s="6">
        <v>10</v>
      </c>
      <c r="N197" s="7">
        <v>2000</v>
      </c>
      <c r="O197" s="7">
        <f t="shared" si="19"/>
        <v>20000</v>
      </c>
      <c r="P197" s="6" t="s">
        <v>27</v>
      </c>
      <c r="Q197" s="6" t="s">
        <v>61</v>
      </c>
      <c r="R197" s="4">
        <v>44024</v>
      </c>
      <c r="S197" s="6" t="s">
        <v>29</v>
      </c>
      <c r="T197" s="6" t="s">
        <v>30</v>
      </c>
    </row>
    <row r="198" spans="1:20" x14ac:dyDescent="0.35">
      <c r="A198" s="4">
        <v>43963</v>
      </c>
      <c r="B198" s="5">
        <f t="shared" si="15"/>
        <v>2020</v>
      </c>
      <c r="C198" s="5">
        <f t="shared" si="16"/>
        <v>5</v>
      </c>
      <c r="D198" s="5">
        <f t="shared" si="17"/>
        <v>12</v>
      </c>
      <c r="E198" s="5" t="str">
        <f t="shared" si="18"/>
        <v>May</v>
      </c>
      <c r="F198" s="6" t="s">
        <v>320</v>
      </c>
      <c r="G198" s="6" t="s">
        <v>160</v>
      </c>
      <c r="H198" s="6" t="s">
        <v>176</v>
      </c>
      <c r="I198" s="6" t="s">
        <v>177</v>
      </c>
      <c r="J198" s="6" t="s">
        <v>150</v>
      </c>
      <c r="K198" s="6" t="s">
        <v>157</v>
      </c>
      <c r="L198" s="6" t="s">
        <v>321</v>
      </c>
      <c r="M198" s="6">
        <v>2</v>
      </c>
      <c r="N198" s="7">
        <v>6100</v>
      </c>
      <c r="O198" s="7">
        <f t="shared" si="19"/>
        <v>12200</v>
      </c>
      <c r="P198" s="6" t="s">
        <v>27</v>
      </c>
      <c r="Q198" s="6" t="s">
        <v>61</v>
      </c>
      <c r="R198" s="4">
        <v>44024</v>
      </c>
      <c r="S198" s="6" t="s">
        <v>29</v>
      </c>
      <c r="T198" s="6" t="s">
        <v>30</v>
      </c>
    </row>
    <row r="199" spans="1:20" x14ac:dyDescent="0.35">
      <c r="A199" s="4">
        <v>43963</v>
      </c>
      <c r="B199" s="5">
        <f t="shared" si="15"/>
        <v>2020</v>
      </c>
      <c r="C199" s="5">
        <f t="shared" si="16"/>
        <v>5</v>
      </c>
      <c r="D199" s="5">
        <f t="shared" si="17"/>
        <v>12</v>
      </c>
      <c r="E199" s="5" t="str">
        <f t="shared" si="18"/>
        <v>May</v>
      </c>
      <c r="F199" s="6" t="s">
        <v>320</v>
      </c>
      <c r="G199" s="6" t="s">
        <v>160</v>
      </c>
      <c r="H199" s="6" t="s">
        <v>176</v>
      </c>
      <c r="I199" s="6" t="s">
        <v>177</v>
      </c>
      <c r="J199" s="6" t="s">
        <v>150</v>
      </c>
      <c r="K199" s="6" t="s">
        <v>157</v>
      </c>
      <c r="L199" s="6" t="s">
        <v>292</v>
      </c>
      <c r="M199" s="6">
        <v>3</v>
      </c>
      <c r="N199" s="7">
        <v>5900</v>
      </c>
      <c r="O199" s="7">
        <f t="shared" si="19"/>
        <v>17700</v>
      </c>
      <c r="P199" s="6" t="s">
        <v>27</v>
      </c>
      <c r="Q199" s="6" t="s">
        <v>61</v>
      </c>
      <c r="R199" s="4">
        <v>44024</v>
      </c>
      <c r="S199" s="6" t="s">
        <v>29</v>
      </c>
      <c r="T199" s="6" t="s">
        <v>30</v>
      </c>
    </row>
    <row r="200" spans="1:20" x14ac:dyDescent="0.35">
      <c r="A200" s="4">
        <v>43994</v>
      </c>
      <c r="B200" s="5">
        <f t="shared" si="15"/>
        <v>2020</v>
      </c>
      <c r="C200" s="5">
        <f t="shared" si="16"/>
        <v>6</v>
      </c>
      <c r="D200" s="5">
        <f t="shared" si="17"/>
        <v>12</v>
      </c>
      <c r="E200" s="5" t="str">
        <f t="shared" si="18"/>
        <v>June</v>
      </c>
      <c r="F200" s="6" t="s">
        <v>322</v>
      </c>
      <c r="G200" s="6" t="s">
        <v>133</v>
      </c>
      <c r="H200" s="6" t="s">
        <v>44</v>
      </c>
      <c r="I200" s="6" t="s">
        <v>149</v>
      </c>
      <c r="J200" s="6" t="s">
        <v>150</v>
      </c>
      <c r="K200" s="6" t="s">
        <v>151</v>
      </c>
      <c r="L200" s="6" t="s">
        <v>267</v>
      </c>
      <c r="M200" s="6">
        <v>1</v>
      </c>
      <c r="N200" s="7">
        <v>16500</v>
      </c>
      <c r="O200" s="7">
        <f t="shared" si="19"/>
        <v>16500</v>
      </c>
      <c r="P200" s="6" t="s">
        <v>27</v>
      </c>
      <c r="Q200" s="6" t="s">
        <v>35</v>
      </c>
      <c r="R200" s="4">
        <v>44024</v>
      </c>
      <c r="S200" s="6" t="s">
        <v>85</v>
      </c>
      <c r="T200" s="6" t="s">
        <v>30</v>
      </c>
    </row>
    <row r="201" spans="1:20" x14ac:dyDescent="0.35">
      <c r="A201" s="4">
        <v>43994</v>
      </c>
      <c r="B201" s="5">
        <f t="shared" si="15"/>
        <v>2020</v>
      </c>
      <c r="C201" s="5">
        <f t="shared" si="16"/>
        <v>6</v>
      </c>
      <c r="D201" s="5">
        <f t="shared" si="17"/>
        <v>12</v>
      </c>
      <c r="E201" s="5" t="str">
        <f t="shared" si="18"/>
        <v>June</v>
      </c>
      <c r="F201" s="6" t="s">
        <v>322</v>
      </c>
      <c r="G201" s="6" t="s">
        <v>133</v>
      </c>
      <c r="H201" s="6" t="s">
        <v>293</v>
      </c>
      <c r="I201" s="6" t="s">
        <v>294</v>
      </c>
      <c r="J201" s="6" t="s">
        <v>150</v>
      </c>
      <c r="K201" s="6" t="s">
        <v>157</v>
      </c>
      <c r="L201" s="6" t="s">
        <v>295</v>
      </c>
      <c r="M201" s="6">
        <v>1</v>
      </c>
      <c r="N201" s="7">
        <v>5100</v>
      </c>
      <c r="O201" s="7">
        <f t="shared" si="19"/>
        <v>5100</v>
      </c>
      <c r="P201" s="6" t="s">
        <v>27</v>
      </c>
      <c r="Q201" s="6" t="s">
        <v>35</v>
      </c>
      <c r="R201" s="4">
        <v>44024</v>
      </c>
      <c r="S201" s="6" t="s">
        <v>85</v>
      </c>
      <c r="T201" s="6" t="s">
        <v>30</v>
      </c>
    </row>
    <row r="202" spans="1:20" x14ac:dyDescent="0.35">
      <c r="A202" s="4">
        <v>43994</v>
      </c>
      <c r="B202" s="5">
        <f t="shared" si="15"/>
        <v>2020</v>
      </c>
      <c r="C202" s="5">
        <f t="shared" si="16"/>
        <v>6</v>
      </c>
      <c r="D202" s="5">
        <f t="shared" si="17"/>
        <v>12</v>
      </c>
      <c r="E202" s="5" t="str">
        <f t="shared" si="18"/>
        <v>June</v>
      </c>
      <c r="F202" s="6" t="s">
        <v>132</v>
      </c>
      <c r="G202" s="6" t="s">
        <v>133</v>
      </c>
      <c r="H202" s="6" t="s">
        <v>44</v>
      </c>
      <c r="I202" s="6" t="s">
        <v>149</v>
      </c>
      <c r="J202" s="6" t="s">
        <v>150</v>
      </c>
      <c r="K202" s="6" t="s">
        <v>151</v>
      </c>
      <c r="L202" s="6" t="s">
        <v>266</v>
      </c>
      <c r="M202" s="6">
        <v>1</v>
      </c>
      <c r="N202" s="7">
        <v>13600</v>
      </c>
      <c r="O202" s="7">
        <f t="shared" si="19"/>
        <v>13600</v>
      </c>
      <c r="P202" s="6" t="s">
        <v>27</v>
      </c>
      <c r="Q202" s="6" t="s">
        <v>35</v>
      </c>
      <c r="R202" s="4">
        <v>44024</v>
      </c>
      <c r="S202" s="6" t="s">
        <v>85</v>
      </c>
      <c r="T202" s="6" t="s">
        <v>30</v>
      </c>
    </row>
    <row r="203" spans="1:20" x14ac:dyDescent="0.35">
      <c r="A203" s="4">
        <v>43994</v>
      </c>
      <c r="B203" s="5">
        <f t="shared" si="15"/>
        <v>2020</v>
      </c>
      <c r="C203" s="5">
        <f t="shared" si="16"/>
        <v>6</v>
      </c>
      <c r="D203" s="5">
        <f t="shared" si="17"/>
        <v>12</v>
      </c>
      <c r="E203" s="5" t="str">
        <f t="shared" si="18"/>
        <v>June</v>
      </c>
      <c r="F203" s="6" t="s">
        <v>132</v>
      </c>
      <c r="G203" s="6" t="s">
        <v>133</v>
      </c>
      <c r="H203" s="6" t="s">
        <v>44</v>
      </c>
      <c r="I203" s="6" t="s">
        <v>149</v>
      </c>
      <c r="J203" s="6" t="s">
        <v>150</v>
      </c>
      <c r="K203" s="6" t="s">
        <v>151</v>
      </c>
      <c r="L203" s="6" t="s">
        <v>155</v>
      </c>
      <c r="M203" s="6">
        <v>2</v>
      </c>
      <c r="N203" s="7">
        <v>9120</v>
      </c>
      <c r="O203" s="7">
        <f t="shared" si="19"/>
        <v>18240</v>
      </c>
      <c r="P203" s="6" t="s">
        <v>27</v>
      </c>
      <c r="Q203" s="6" t="s">
        <v>35</v>
      </c>
      <c r="R203" s="4">
        <v>44024</v>
      </c>
      <c r="S203" s="6" t="s">
        <v>85</v>
      </c>
      <c r="T203" s="6" t="s">
        <v>30</v>
      </c>
    </row>
    <row r="204" spans="1:20" x14ac:dyDescent="0.35">
      <c r="A204" s="4">
        <v>43963</v>
      </c>
      <c r="B204" s="5">
        <f t="shared" si="15"/>
        <v>2020</v>
      </c>
      <c r="C204" s="5">
        <f t="shared" si="16"/>
        <v>5</v>
      </c>
      <c r="D204" s="5">
        <f t="shared" si="17"/>
        <v>12</v>
      </c>
      <c r="E204" s="5" t="str">
        <f t="shared" si="18"/>
        <v>May</v>
      </c>
      <c r="F204" s="6" t="s">
        <v>323</v>
      </c>
      <c r="G204" s="6" t="s">
        <v>324</v>
      </c>
      <c r="H204" s="6" t="s">
        <v>164</v>
      </c>
      <c r="I204" s="6" t="s">
        <v>165</v>
      </c>
      <c r="J204" s="6" t="s">
        <v>150</v>
      </c>
      <c r="K204" s="6" t="s">
        <v>166</v>
      </c>
      <c r="L204" s="6" t="s">
        <v>167</v>
      </c>
      <c r="M204" s="6">
        <v>1</v>
      </c>
      <c r="N204" s="7">
        <v>7800</v>
      </c>
      <c r="O204" s="7">
        <f t="shared" si="19"/>
        <v>7800</v>
      </c>
      <c r="P204" s="6" t="s">
        <v>27</v>
      </c>
      <c r="Q204" s="6" t="s">
        <v>325</v>
      </c>
      <c r="R204" s="4">
        <v>44024</v>
      </c>
      <c r="S204" s="6" t="s">
        <v>29</v>
      </c>
      <c r="T204" s="6" t="s">
        <v>36</v>
      </c>
    </row>
    <row r="205" spans="1:20" x14ac:dyDescent="0.35">
      <c r="A205" s="4">
        <v>43963</v>
      </c>
      <c r="B205" s="5">
        <f t="shared" si="15"/>
        <v>2020</v>
      </c>
      <c r="C205" s="5">
        <f t="shared" si="16"/>
        <v>5</v>
      </c>
      <c r="D205" s="5">
        <f t="shared" si="17"/>
        <v>12</v>
      </c>
      <c r="E205" s="5" t="str">
        <f t="shared" si="18"/>
        <v>May</v>
      </c>
      <c r="F205" s="6" t="s">
        <v>323</v>
      </c>
      <c r="G205" s="6" t="s">
        <v>324</v>
      </c>
      <c r="H205" s="6" t="s">
        <v>44</v>
      </c>
      <c r="I205" s="6" t="s">
        <v>149</v>
      </c>
      <c r="J205" s="6" t="s">
        <v>150</v>
      </c>
      <c r="K205" s="6" t="s">
        <v>151</v>
      </c>
      <c r="L205" s="6" t="s">
        <v>152</v>
      </c>
      <c r="M205" s="6">
        <v>1</v>
      </c>
      <c r="N205" s="7">
        <v>11200</v>
      </c>
      <c r="O205" s="7">
        <f t="shared" si="19"/>
        <v>11200</v>
      </c>
      <c r="P205" s="6" t="s">
        <v>27</v>
      </c>
      <c r="Q205" s="6" t="s">
        <v>325</v>
      </c>
      <c r="R205" s="4">
        <v>44024</v>
      </c>
      <c r="S205" s="6" t="s">
        <v>29</v>
      </c>
      <c r="T205" s="6" t="s">
        <v>36</v>
      </c>
    </row>
    <row r="206" spans="1:20" x14ac:dyDescent="0.35">
      <c r="A206" s="4">
        <v>43963</v>
      </c>
      <c r="B206" s="5">
        <f t="shared" si="15"/>
        <v>2020</v>
      </c>
      <c r="C206" s="5">
        <f t="shared" si="16"/>
        <v>5</v>
      </c>
      <c r="D206" s="5">
        <f t="shared" si="17"/>
        <v>12</v>
      </c>
      <c r="E206" s="5" t="str">
        <f t="shared" si="18"/>
        <v>May</v>
      </c>
      <c r="F206" s="6" t="s">
        <v>323</v>
      </c>
      <c r="G206" s="6" t="s">
        <v>324</v>
      </c>
      <c r="H206" s="6" t="s">
        <v>176</v>
      </c>
      <c r="I206" s="6" t="s">
        <v>177</v>
      </c>
      <c r="J206" s="6" t="s">
        <v>150</v>
      </c>
      <c r="K206" s="6" t="s">
        <v>157</v>
      </c>
      <c r="L206" s="6" t="s">
        <v>178</v>
      </c>
      <c r="M206" s="6">
        <v>2</v>
      </c>
      <c r="N206" s="7">
        <v>2000</v>
      </c>
      <c r="O206" s="7">
        <f t="shared" si="19"/>
        <v>4000</v>
      </c>
      <c r="P206" s="6" t="s">
        <v>27</v>
      </c>
      <c r="Q206" s="6" t="s">
        <v>325</v>
      </c>
      <c r="R206" s="4">
        <v>44024</v>
      </c>
      <c r="S206" s="6" t="s">
        <v>29</v>
      </c>
      <c r="T206" s="6" t="s">
        <v>36</v>
      </c>
    </row>
    <row r="207" spans="1:20" x14ac:dyDescent="0.35">
      <c r="A207" s="4">
        <v>43933</v>
      </c>
      <c r="B207" s="5">
        <f t="shared" si="15"/>
        <v>2020</v>
      </c>
      <c r="C207" s="5">
        <f t="shared" si="16"/>
        <v>4</v>
      </c>
      <c r="D207" s="5">
        <f t="shared" si="17"/>
        <v>12</v>
      </c>
      <c r="E207" s="5" t="str">
        <f t="shared" si="18"/>
        <v>April</v>
      </c>
      <c r="F207" s="6" t="s">
        <v>326</v>
      </c>
      <c r="G207" s="6" t="s">
        <v>142</v>
      </c>
      <c r="H207" s="6" t="s">
        <v>44</v>
      </c>
      <c r="I207" s="6" t="s">
        <v>149</v>
      </c>
      <c r="J207" s="6" t="s">
        <v>150</v>
      </c>
      <c r="K207" s="6" t="s">
        <v>151</v>
      </c>
      <c r="L207" s="6" t="s">
        <v>155</v>
      </c>
      <c r="M207" s="6">
        <v>10</v>
      </c>
      <c r="N207" s="7">
        <v>9120</v>
      </c>
      <c r="O207" s="7">
        <f t="shared" si="19"/>
        <v>91200</v>
      </c>
      <c r="P207" s="6" t="s">
        <v>27</v>
      </c>
      <c r="Q207" s="6" t="s">
        <v>327</v>
      </c>
      <c r="R207" s="4">
        <v>44024</v>
      </c>
      <c r="S207" s="6" t="s">
        <v>85</v>
      </c>
      <c r="T207" s="6" t="s">
        <v>30</v>
      </c>
    </row>
    <row r="208" spans="1:20" x14ac:dyDescent="0.35">
      <c r="A208" s="4">
        <v>43963</v>
      </c>
      <c r="B208" s="5">
        <f t="shared" si="15"/>
        <v>2020</v>
      </c>
      <c r="C208" s="5">
        <f t="shared" si="16"/>
        <v>5</v>
      </c>
      <c r="D208" s="5">
        <f t="shared" si="17"/>
        <v>12</v>
      </c>
      <c r="E208" s="5" t="str">
        <f t="shared" si="18"/>
        <v>May</v>
      </c>
      <c r="F208" s="6" t="s">
        <v>71</v>
      </c>
      <c r="G208" s="6" t="s">
        <v>72</v>
      </c>
      <c r="H208" s="6" t="s">
        <v>219</v>
      </c>
      <c r="I208" s="6" t="s">
        <v>220</v>
      </c>
      <c r="J208" s="6" t="s">
        <v>150</v>
      </c>
      <c r="K208" s="6" t="s">
        <v>221</v>
      </c>
      <c r="L208" s="6" t="s">
        <v>328</v>
      </c>
      <c r="M208" s="6">
        <v>3</v>
      </c>
      <c r="N208" s="7">
        <v>3180</v>
      </c>
      <c r="O208" s="7">
        <f t="shared" si="19"/>
        <v>9540</v>
      </c>
      <c r="P208" s="6" t="s">
        <v>27</v>
      </c>
      <c r="Q208" s="6" t="s">
        <v>73</v>
      </c>
      <c r="R208" s="4">
        <v>44055</v>
      </c>
      <c r="S208" s="6" t="s">
        <v>29</v>
      </c>
      <c r="T208" s="6" t="s">
        <v>36</v>
      </c>
    </row>
    <row r="209" spans="1:20" x14ac:dyDescent="0.35">
      <c r="A209" s="4">
        <v>43963</v>
      </c>
      <c r="B209" s="5">
        <f t="shared" si="15"/>
        <v>2020</v>
      </c>
      <c r="C209" s="5">
        <f t="shared" si="16"/>
        <v>5</v>
      </c>
      <c r="D209" s="5">
        <f t="shared" si="17"/>
        <v>12</v>
      </c>
      <c r="E209" s="5" t="str">
        <f t="shared" si="18"/>
        <v>May</v>
      </c>
      <c r="F209" s="6" t="s">
        <v>71</v>
      </c>
      <c r="G209" s="6" t="s">
        <v>72</v>
      </c>
      <c r="H209" s="6" t="s">
        <v>200</v>
      </c>
      <c r="I209" s="6" t="s">
        <v>201</v>
      </c>
      <c r="J209" s="6" t="s">
        <v>150</v>
      </c>
      <c r="K209" s="6" t="s">
        <v>166</v>
      </c>
      <c r="L209" s="6" t="s">
        <v>202</v>
      </c>
      <c r="M209" s="6">
        <v>1</v>
      </c>
      <c r="N209" s="7">
        <v>6500</v>
      </c>
      <c r="O209" s="7">
        <f t="shared" si="19"/>
        <v>6500</v>
      </c>
      <c r="P209" s="6" t="s">
        <v>27</v>
      </c>
      <c r="Q209" s="6" t="s">
        <v>73</v>
      </c>
      <c r="R209" s="4">
        <v>44055</v>
      </c>
      <c r="S209" s="6" t="s">
        <v>29</v>
      </c>
      <c r="T209" s="6" t="s">
        <v>36</v>
      </c>
    </row>
    <row r="210" spans="1:20" x14ac:dyDescent="0.35">
      <c r="A210" s="4">
        <v>44024</v>
      </c>
      <c r="B210" s="5">
        <f t="shared" si="15"/>
        <v>2020</v>
      </c>
      <c r="C210" s="5">
        <f t="shared" si="16"/>
        <v>7</v>
      </c>
      <c r="D210" s="5">
        <f t="shared" si="17"/>
        <v>12</v>
      </c>
      <c r="E210" s="5" t="str">
        <f t="shared" si="18"/>
        <v>July</v>
      </c>
      <c r="F210" s="6" t="s">
        <v>329</v>
      </c>
      <c r="G210" s="6" t="s">
        <v>330</v>
      </c>
      <c r="H210" s="6" t="s">
        <v>44</v>
      </c>
      <c r="I210" s="6" t="s">
        <v>149</v>
      </c>
      <c r="J210" s="6" t="s">
        <v>150</v>
      </c>
      <c r="K210" s="6" t="s">
        <v>151</v>
      </c>
      <c r="L210" s="6" t="s">
        <v>155</v>
      </c>
      <c r="M210" s="6">
        <v>4</v>
      </c>
      <c r="N210" s="7">
        <v>9120</v>
      </c>
      <c r="O210" s="7">
        <f t="shared" si="19"/>
        <v>36480</v>
      </c>
      <c r="P210" s="6" t="s">
        <v>27</v>
      </c>
      <c r="Q210" s="6" t="s">
        <v>331</v>
      </c>
      <c r="R210" s="4">
        <v>44055</v>
      </c>
      <c r="S210" s="6" t="s">
        <v>29</v>
      </c>
      <c r="T210" s="6" t="s">
        <v>36</v>
      </c>
    </row>
    <row r="211" spans="1:20" x14ac:dyDescent="0.35">
      <c r="A211" s="4">
        <v>44024</v>
      </c>
      <c r="B211" s="5">
        <f t="shared" si="15"/>
        <v>2020</v>
      </c>
      <c r="C211" s="5">
        <f t="shared" si="16"/>
        <v>7</v>
      </c>
      <c r="D211" s="5">
        <f t="shared" si="17"/>
        <v>12</v>
      </c>
      <c r="E211" s="5" t="str">
        <f t="shared" si="18"/>
        <v>July</v>
      </c>
      <c r="F211" s="6" t="s">
        <v>332</v>
      </c>
      <c r="G211" s="6" t="s">
        <v>330</v>
      </c>
      <c r="H211" s="6" t="s">
        <v>200</v>
      </c>
      <c r="I211" s="6" t="s">
        <v>201</v>
      </c>
      <c r="J211" s="6" t="s">
        <v>150</v>
      </c>
      <c r="K211" s="6" t="s">
        <v>166</v>
      </c>
      <c r="L211" s="6" t="s">
        <v>206</v>
      </c>
      <c r="M211" s="6">
        <v>3</v>
      </c>
      <c r="N211" s="7">
        <v>6750</v>
      </c>
      <c r="O211" s="7">
        <f t="shared" si="19"/>
        <v>20250</v>
      </c>
      <c r="P211" s="6" t="s">
        <v>27</v>
      </c>
      <c r="Q211" s="6" t="s">
        <v>331</v>
      </c>
      <c r="R211" s="4">
        <v>44055</v>
      </c>
      <c r="S211" s="6" t="s">
        <v>29</v>
      </c>
      <c r="T211" s="6" t="s">
        <v>36</v>
      </c>
    </row>
    <row r="212" spans="1:20" x14ac:dyDescent="0.35">
      <c r="A212" s="4">
        <v>44024</v>
      </c>
      <c r="B212" s="5">
        <f t="shared" si="15"/>
        <v>2020</v>
      </c>
      <c r="C212" s="5">
        <f t="shared" si="16"/>
        <v>7</v>
      </c>
      <c r="D212" s="5">
        <f t="shared" si="17"/>
        <v>12</v>
      </c>
      <c r="E212" s="5" t="str">
        <f t="shared" si="18"/>
        <v>July</v>
      </c>
      <c r="F212" s="6" t="s">
        <v>134</v>
      </c>
      <c r="G212" s="6" t="s">
        <v>135</v>
      </c>
      <c r="H212" s="6" t="s">
        <v>164</v>
      </c>
      <c r="I212" s="6" t="s">
        <v>165</v>
      </c>
      <c r="J212" s="6" t="s">
        <v>150</v>
      </c>
      <c r="K212" s="6" t="s">
        <v>166</v>
      </c>
      <c r="L212" s="6" t="s">
        <v>167</v>
      </c>
      <c r="M212" s="6">
        <v>1</v>
      </c>
      <c r="N212" s="7">
        <v>7800</v>
      </c>
      <c r="O212" s="7">
        <f t="shared" si="19"/>
        <v>7800</v>
      </c>
      <c r="P212" s="6" t="s">
        <v>27</v>
      </c>
      <c r="Q212" s="6" t="s">
        <v>136</v>
      </c>
      <c r="R212" s="4">
        <v>44055</v>
      </c>
      <c r="S212" s="6" t="s">
        <v>29</v>
      </c>
      <c r="T212" s="6" t="s">
        <v>36</v>
      </c>
    </row>
    <row r="213" spans="1:20" x14ac:dyDescent="0.35">
      <c r="A213" s="4">
        <v>44024</v>
      </c>
      <c r="B213" s="5">
        <f t="shared" si="15"/>
        <v>2020</v>
      </c>
      <c r="C213" s="5">
        <f t="shared" si="16"/>
        <v>7</v>
      </c>
      <c r="D213" s="5">
        <f t="shared" si="17"/>
        <v>12</v>
      </c>
      <c r="E213" s="5" t="str">
        <f t="shared" si="18"/>
        <v>July</v>
      </c>
      <c r="F213" s="6" t="s">
        <v>134</v>
      </c>
      <c r="G213" s="6" t="s">
        <v>135</v>
      </c>
      <c r="H213" s="6" t="s">
        <v>164</v>
      </c>
      <c r="I213" s="6" t="s">
        <v>165</v>
      </c>
      <c r="J213" s="6" t="s">
        <v>150</v>
      </c>
      <c r="K213" s="6" t="s">
        <v>166</v>
      </c>
      <c r="L213" s="6" t="s">
        <v>211</v>
      </c>
      <c r="M213" s="6">
        <v>1</v>
      </c>
      <c r="N213" s="7">
        <v>8500</v>
      </c>
      <c r="O213" s="7">
        <f t="shared" si="19"/>
        <v>8500</v>
      </c>
      <c r="P213" s="6" t="s">
        <v>27</v>
      </c>
      <c r="Q213" s="6" t="s">
        <v>136</v>
      </c>
      <c r="R213" s="4">
        <v>44055</v>
      </c>
      <c r="S213" s="6" t="s">
        <v>29</v>
      </c>
      <c r="T213" s="6" t="s">
        <v>36</v>
      </c>
    </row>
    <row r="214" spans="1:20" x14ac:dyDescent="0.35">
      <c r="A214" s="4">
        <v>44024</v>
      </c>
      <c r="B214" s="5">
        <f t="shared" si="15"/>
        <v>2020</v>
      </c>
      <c r="C214" s="5">
        <f t="shared" si="16"/>
        <v>7</v>
      </c>
      <c r="D214" s="5">
        <f t="shared" si="17"/>
        <v>12</v>
      </c>
      <c r="E214" s="5" t="str">
        <f t="shared" si="18"/>
        <v>July</v>
      </c>
      <c r="F214" s="6" t="s">
        <v>134</v>
      </c>
      <c r="G214" s="6" t="s">
        <v>135</v>
      </c>
      <c r="H214" s="6" t="s">
        <v>44</v>
      </c>
      <c r="I214" s="6" t="s">
        <v>149</v>
      </c>
      <c r="J214" s="6" t="s">
        <v>150</v>
      </c>
      <c r="K214" s="6" t="s">
        <v>151</v>
      </c>
      <c r="L214" s="6" t="s">
        <v>155</v>
      </c>
      <c r="M214" s="6">
        <v>1</v>
      </c>
      <c r="N214" s="7">
        <v>9120</v>
      </c>
      <c r="O214" s="7">
        <f t="shared" si="19"/>
        <v>9120</v>
      </c>
      <c r="P214" s="6" t="s">
        <v>27</v>
      </c>
      <c r="Q214" s="6" t="s">
        <v>136</v>
      </c>
      <c r="R214" s="4">
        <v>44055</v>
      </c>
      <c r="S214" s="6" t="s">
        <v>29</v>
      </c>
      <c r="T214" s="6" t="s">
        <v>65</v>
      </c>
    </row>
    <row r="215" spans="1:20" x14ac:dyDescent="0.35">
      <c r="A215" s="4">
        <v>44024</v>
      </c>
      <c r="B215" s="5">
        <f t="shared" si="15"/>
        <v>2020</v>
      </c>
      <c r="C215" s="5">
        <f t="shared" si="16"/>
        <v>7</v>
      </c>
      <c r="D215" s="5">
        <f t="shared" si="17"/>
        <v>12</v>
      </c>
      <c r="E215" s="5" t="str">
        <f t="shared" si="18"/>
        <v>July</v>
      </c>
      <c r="F215" s="6" t="s">
        <v>333</v>
      </c>
      <c r="G215" s="6" t="s">
        <v>334</v>
      </c>
      <c r="H215" s="6" t="s">
        <v>44</v>
      </c>
      <c r="I215" s="6" t="s">
        <v>149</v>
      </c>
      <c r="J215" s="6" t="s">
        <v>150</v>
      </c>
      <c r="K215" s="6" t="s">
        <v>151</v>
      </c>
      <c r="L215" s="6" t="s">
        <v>155</v>
      </c>
      <c r="M215" s="6">
        <v>1</v>
      </c>
      <c r="N215" s="7">
        <v>9120</v>
      </c>
      <c r="O215" s="7">
        <f t="shared" si="19"/>
        <v>9120</v>
      </c>
      <c r="P215" s="6" t="s">
        <v>27</v>
      </c>
      <c r="Q215" s="6" t="s">
        <v>331</v>
      </c>
      <c r="R215" s="4">
        <v>44055</v>
      </c>
      <c r="S215" s="6" t="s">
        <v>29</v>
      </c>
      <c r="T215" s="6" t="s">
        <v>65</v>
      </c>
    </row>
    <row r="216" spans="1:20" x14ac:dyDescent="0.35">
      <c r="A216" s="4">
        <v>44024</v>
      </c>
      <c r="B216" s="5">
        <f t="shared" si="15"/>
        <v>2020</v>
      </c>
      <c r="C216" s="5">
        <f t="shared" si="16"/>
        <v>7</v>
      </c>
      <c r="D216" s="5">
        <f t="shared" si="17"/>
        <v>12</v>
      </c>
      <c r="E216" s="5" t="str">
        <f t="shared" si="18"/>
        <v>July</v>
      </c>
      <c r="F216" s="6" t="s">
        <v>335</v>
      </c>
      <c r="G216" s="6" t="s">
        <v>336</v>
      </c>
      <c r="H216" s="6" t="s">
        <v>44</v>
      </c>
      <c r="I216" s="6" t="s">
        <v>156</v>
      </c>
      <c r="J216" s="6" t="s">
        <v>150</v>
      </c>
      <c r="K216" s="6" t="s">
        <v>157</v>
      </c>
      <c r="L216" s="6" t="s">
        <v>337</v>
      </c>
      <c r="M216" s="6">
        <v>2</v>
      </c>
      <c r="N216" s="7">
        <v>7450</v>
      </c>
      <c r="O216" s="7">
        <f t="shared" si="19"/>
        <v>14900</v>
      </c>
      <c r="P216" s="6" t="s">
        <v>27</v>
      </c>
      <c r="Q216" s="6" t="s">
        <v>272</v>
      </c>
      <c r="R216" s="4">
        <v>44055</v>
      </c>
      <c r="S216" s="6" t="s">
        <v>29</v>
      </c>
      <c r="T216" s="6" t="s">
        <v>65</v>
      </c>
    </row>
    <row r="217" spans="1:20" x14ac:dyDescent="0.35">
      <c r="A217" s="4">
        <v>44024</v>
      </c>
      <c r="B217" s="5">
        <f t="shared" si="15"/>
        <v>2020</v>
      </c>
      <c r="C217" s="5">
        <f t="shared" si="16"/>
        <v>7</v>
      </c>
      <c r="D217" s="5">
        <f t="shared" si="17"/>
        <v>12</v>
      </c>
      <c r="E217" s="5" t="str">
        <f t="shared" si="18"/>
        <v>July</v>
      </c>
      <c r="F217" s="6" t="s">
        <v>335</v>
      </c>
      <c r="G217" s="6" t="s">
        <v>336</v>
      </c>
      <c r="H217" s="6" t="s">
        <v>44</v>
      </c>
      <c r="I217" s="6" t="s">
        <v>156</v>
      </c>
      <c r="J217" s="6" t="s">
        <v>150</v>
      </c>
      <c r="K217" s="6" t="s">
        <v>157</v>
      </c>
      <c r="L217" s="6" t="s">
        <v>158</v>
      </c>
      <c r="M217" s="6">
        <v>2</v>
      </c>
      <c r="N217" s="7">
        <v>7450</v>
      </c>
      <c r="O217" s="7">
        <f t="shared" si="19"/>
        <v>14900</v>
      </c>
      <c r="P217" s="6" t="s">
        <v>27</v>
      </c>
      <c r="Q217" s="6" t="s">
        <v>272</v>
      </c>
      <c r="R217" s="4">
        <v>44055</v>
      </c>
      <c r="S217" s="6" t="s">
        <v>29</v>
      </c>
      <c r="T217" s="6" t="s">
        <v>65</v>
      </c>
    </row>
    <row r="218" spans="1:20" x14ac:dyDescent="0.35">
      <c r="A218" s="4">
        <v>44024</v>
      </c>
      <c r="B218" s="5">
        <f t="shared" si="15"/>
        <v>2020</v>
      </c>
      <c r="C218" s="5">
        <f t="shared" si="16"/>
        <v>7</v>
      </c>
      <c r="D218" s="5">
        <f t="shared" si="17"/>
        <v>12</v>
      </c>
      <c r="E218" s="5" t="str">
        <f t="shared" si="18"/>
        <v>July</v>
      </c>
      <c r="F218" s="6" t="s">
        <v>335</v>
      </c>
      <c r="G218" s="6" t="s">
        <v>336</v>
      </c>
      <c r="H218" s="6" t="s">
        <v>44</v>
      </c>
      <c r="I218" s="6" t="s">
        <v>149</v>
      </c>
      <c r="J218" s="6" t="s">
        <v>150</v>
      </c>
      <c r="K218" s="6" t="s">
        <v>151</v>
      </c>
      <c r="L218" s="6" t="s">
        <v>155</v>
      </c>
      <c r="M218" s="6">
        <v>2</v>
      </c>
      <c r="N218" s="7">
        <v>9120</v>
      </c>
      <c r="O218" s="7">
        <f t="shared" si="19"/>
        <v>18240</v>
      </c>
      <c r="P218" s="6" t="s">
        <v>27</v>
      </c>
      <c r="Q218" s="6" t="s">
        <v>272</v>
      </c>
      <c r="R218" s="4">
        <v>44055</v>
      </c>
      <c r="S218" s="6" t="s">
        <v>29</v>
      </c>
      <c r="T218" s="6" t="s">
        <v>65</v>
      </c>
    </row>
    <row r="219" spans="1:20" x14ac:dyDescent="0.35">
      <c r="A219" s="4">
        <v>44024</v>
      </c>
      <c r="B219" s="5">
        <f t="shared" si="15"/>
        <v>2020</v>
      </c>
      <c r="C219" s="5">
        <f t="shared" si="16"/>
        <v>7</v>
      </c>
      <c r="D219" s="5">
        <f t="shared" si="17"/>
        <v>12</v>
      </c>
      <c r="E219" s="5" t="str">
        <f t="shared" si="18"/>
        <v>July</v>
      </c>
      <c r="F219" s="6" t="s">
        <v>335</v>
      </c>
      <c r="G219" s="6" t="s">
        <v>336</v>
      </c>
      <c r="H219" s="6" t="s">
        <v>39</v>
      </c>
      <c r="I219" s="6" t="s">
        <v>172</v>
      </c>
      <c r="J219" s="6" t="s">
        <v>150</v>
      </c>
      <c r="K219" s="6" t="s">
        <v>166</v>
      </c>
      <c r="L219" s="6" t="s">
        <v>302</v>
      </c>
      <c r="M219" s="6">
        <v>1</v>
      </c>
      <c r="N219" s="7">
        <v>8900</v>
      </c>
      <c r="O219" s="7">
        <f t="shared" si="19"/>
        <v>8900</v>
      </c>
      <c r="P219" s="6" t="s">
        <v>27</v>
      </c>
      <c r="Q219" s="6" t="s">
        <v>272</v>
      </c>
      <c r="R219" s="4">
        <v>44055</v>
      </c>
      <c r="S219" s="6" t="s">
        <v>29</v>
      </c>
      <c r="T219" s="6" t="s">
        <v>65</v>
      </c>
    </row>
    <row r="220" spans="1:20" x14ac:dyDescent="0.35">
      <c r="A220" s="4">
        <v>44024</v>
      </c>
      <c r="B220" s="5">
        <f t="shared" si="15"/>
        <v>2020</v>
      </c>
      <c r="C220" s="5">
        <f t="shared" si="16"/>
        <v>7</v>
      </c>
      <c r="D220" s="5">
        <f t="shared" si="17"/>
        <v>12</v>
      </c>
      <c r="E220" s="5" t="str">
        <f t="shared" si="18"/>
        <v>July</v>
      </c>
      <c r="F220" s="6" t="s">
        <v>338</v>
      </c>
      <c r="G220" s="6" t="s">
        <v>339</v>
      </c>
      <c r="H220" s="6" t="s">
        <v>340</v>
      </c>
      <c r="I220" s="6" t="s">
        <v>341</v>
      </c>
      <c r="J220" s="6" t="s">
        <v>150</v>
      </c>
      <c r="K220" s="6" t="s">
        <v>242</v>
      </c>
      <c r="L220" s="6" t="s">
        <v>342</v>
      </c>
      <c r="M220" s="6">
        <v>1</v>
      </c>
      <c r="N220" s="7">
        <v>1500</v>
      </c>
      <c r="O220" s="7">
        <f t="shared" si="19"/>
        <v>1500</v>
      </c>
      <c r="P220" s="6" t="s">
        <v>27</v>
      </c>
      <c r="Q220" s="6" t="s">
        <v>343</v>
      </c>
      <c r="R220" s="4">
        <v>44055</v>
      </c>
      <c r="S220" s="6" t="s">
        <v>29</v>
      </c>
      <c r="T220" s="6" t="s">
        <v>65</v>
      </c>
    </row>
    <row r="221" spans="1:20" x14ac:dyDescent="0.35">
      <c r="A221" s="4">
        <v>44024</v>
      </c>
      <c r="B221" s="5">
        <f t="shared" si="15"/>
        <v>2020</v>
      </c>
      <c r="C221" s="5">
        <f t="shared" si="16"/>
        <v>7</v>
      </c>
      <c r="D221" s="5">
        <f t="shared" si="17"/>
        <v>12</v>
      </c>
      <c r="E221" s="5" t="str">
        <f t="shared" si="18"/>
        <v>July</v>
      </c>
      <c r="F221" s="6" t="s">
        <v>338</v>
      </c>
      <c r="G221" s="6" t="s">
        <v>339</v>
      </c>
      <c r="H221" s="6" t="s">
        <v>340</v>
      </c>
      <c r="I221" s="6" t="s">
        <v>341</v>
      </c>
      <c r="J221" s="6" t="s">
        <v>150</v>
      </c>
      <c r="K221" s="6" t="s">
        <v>242</v>
      </c>
      <c r="L221" s="6" t="s">
        <v>344</v>
      </c>
      <c r="M221" s="6">
        <v>1</v>
      </c>
      <c r="N221" s="6">
        <v>1</v>
      </c>
      <c r="O221" s="7">
        <f t="shared" si="19"/>
        <v>1</v>
      </c>
      <c r="P221" s="6" t="s">
        <v>27</v>
      </c>
      <c r="Q221" s="6" t="s">
        <v>343</v>
      </c>
      <c r="R221" s="4">
        <v>44055</v>
      </c>
      <c r="S221" s="6" t="s">
        <v>29</v>
      </c>
      <c r="T221" s="6" t="s">
        <v>65</v>
      </c>
    </row>
    <row r="222" spans="1:20" x14ac:dyDescent="0.35">
      <c r="A222" s="4">
        <v>44024</v>
      </c>
      <c r="B222" s="5">
        <f t="shared" si="15"/>
        <v>2020</v>
      </c>
      <c r="C222" s="5">
        <f t="shared" si="16"/>
        <v>7</v>
      </c>
      <c r="D222" s="5">
        <f t="shared" si="17"/>
        <v>12</v>
      </c>
      <c r="E222" s="5" t="str">
        <f t="shared" si="18"/>
        <v>July</v>
      </c>
      <c r="F222" s="6" t="s">
        <v>345</v>
      </c>
      <c r="G222" s="6" t="s">
        <v>346</v>
      </c>
      <c r="H222" s="6" t="s">
        <v>340</v>
      </c>
      <c r="I222" s="6" t="s">
        <v>341</v>
      </c>
      <c r="J222" s="6" t="s">
        <v>150</v>
      </c>
      <c r="K222" s="6" t="s">
        <v>242</v>
      </c>
      <c r="L222" s="6" t="s">
        <v>342</v>
      </c>
      <c r="M222" s="6">
        <v>1</v>
      </c>
      <c r="N222" s="7">
        <v>1500</v>
      </c>
      <c r="O222" s="7">
        <f t="shared" si="19"/>
        <v>1500</v>
      </c>
      <c r="P222" s="6" t="s">
        <v>27</v>
      </c>
      <c r="Q222" s="6" t="s">
        <v>118</v>
      </c>
      <c r="R222" s="4">
        <v>44055</v>
      </c>
      <c r="S222" s="6" t="s">
        <v>29</v>
      </c>
      <c r="T222" s="6" t="s">
        <v>65</v>
      </c>
    </row>
    <row r="223" spans="1:20" x14ac:dyDescent="0.35">
      <c r="A223" s="4">
        <v>44024</v>
      </c>
      <c r="B223" s="5">
        <f t="shared" si="15"/>
        <v>2020</v>
      </c>
      <c r="C223" s="5">
        <f t="shared" si="16"/>
        <v>7</v>
      </c>
      <c r="D223" s="5">
        <f t="shared" si="17"/>
        <v>12</v>
      </c>
      <c r="E223" s="5" t="str">
        <f t="shared" si="18"/>
        <v>July</v>
      </c>
      <c r="F223" s="6" t="s">
        <v>347</v>
      </c>
      <c r="G223" s="6" t="s">
        <v>348</v>
      </c>
      <c r="H223" s="6" t="s">
        <v>340</v>
      </c>
      <c r="I223" s="6" t="s">
        <v>341</v>
      </c>
      <c r="J223" s="6" t="s">
        <v>150</v>
      </c>
      <c r="K223" s="6" t="s">
        <v>242</v>
      </c>
      <c r="L223" s="6" t="s">
        <v>342</v>
      </c>
      <c r="M223" s="6">
        <v>1</v>
      </c>
      <c r="N223" s="7">
        <v>1500</v>
      </c>
      <c r="O223" s="7">
        <f t="shared" si="19"/>
        <v>1500</v>
      </c>
      <c r="P223" s="6" t="s">
        <v>27</v>
      </c>
      <c r="Q223" s="6" t="s">
        <v>349</v>
      </c>
      <c r="R223" s="4">
        <v>44055</v>
      </c>
      <c r="S223" s="6" t="s">
        <v>29</v>
      </c>
      <c r="T223" s="6" t="s">
        <v>65</v>
      </c>
    </row>
    <row r="224" spans="1:20" x14ac:dyDescent="0.35">
      <c r="A224" s="4">
        <v>44024</v>
      </c>
      <c r="B224" s="5">
        <f t="shared" si="15"/>
        <v>2020</v>
      </c>
      <c r="C224" s="5">
        <f t="shared" si="16"/>
        <v>7</v>
      </c>
      <c r="D224" s="5">
        <f t="shared" si="17"/>
        <v>12</v>
      </c>
      <c r="E224" s="5" t="str">
        <f t="shared" si="18"/>
        <v>July</v>
      </c>
      <c r="F224" s="6" t="s">
        <v>350</v>
      </c>
      <c r="G224" s="6" t="s">
        <v>351</v>
      </c>
      <c r="H224" s="6" t="s">
        <v>340</v>
      </c>
      <c r="I224" s="6" t="s">
        <v>341</v>
      </c>
      <c r="J224" s="6" t="s">
        <v>150</v>
      </c>
      <c r="K224" s="6" t="s">
        <v>242</v>
      </c>
      <c r="L224" s="6" t="s">
        <v>342</v>
      </c>
      <c r="M224" s="6">
        <v>1</v>
      </c>
      <c r="N224" s="7">
        <v>1500</v>
      </c>
      <c r="O224" s="7">
        <f t="shared" si="19"/>
        <v>1500</v>
      </c>
      <c r="P224" s="6" t="s">
        <v>27</v>
      </c>
      <c r="Q224" s="6" t="s">
        <v>352</v>
      </c>
      <c r="R224" s="4">
        <v>44055</v>
      </c>
      <c r="S224" s="6" t="s">
        <v>29</v>
      </c>
      <c r="T224" s="6" t="s">
        <v>65</v>
      </c>
    </row>
    <row r="225" spans="1:20" x14ac:dyDescent="0.35">
      <c r="A225" s="4">
        <v>44024</v>
      </c>
      <c r="B225" s="5">
        <f t="shared" si="15"/>
        <v>2020</v>
      </c>
      <c r="C225" s="5">
        <f t="shared" si="16"/>
        <v>7</v>
      </c>
      <c r="D225" s="5">
        <f t="shared" si="17"/>
        <v>12</v>
      </c>
      <c r="E225" s="5" t="str">
        <f t="shared" si="18"/>
        <v>July</v>
      </c>
      <c r="F225" s="6" t="s">
        <v>353</v>
      </c>
      <c r="G225" s="6" t="s">
        <v>254</v>
      </c>
      <c r="H225" s="6" t="s">
        <v>44</v>
      </c>
      <c r="I225" s="6" t="s">
        <v>156</v>
      </c>
      <c r="J225" s="6" t="s">
        <v>150</v>
      </c>
      <c r="K225" s="6" t="s">
        <v>157</v>
      </c>
      <c r="L225" s="6" t="s">
        <v>158</v>
      </c>
      <c r="M225" s="6">
        <v>5</v>
      </c>
      <c r="N225" s="7">
        <v>7450</v>
      </c>
      <c r="O225" s="7">
        <f t="shared" si="19"/>
        <v>37250</v>
      </c>
      <c r="P225" s="6" t="s">
        <v>27</v>
      </c>
      <c r="Q225" s="6" t="s">
        <v>354</v>
      </c>
      <c r="R225" s="4">
        <v>44055</v>
      </c>
      <c r="S225" s="6" t="s">
        <v>29</v>
      </c>
      <c r="T225" s="6" t="s">
        <v>36</v>
      </c>
    </row>
    <row r="226" spans="1:20" x14ac:dyDescent="0.35">
      <c r="A226" s="4">
        <v>44024</v>
      </c>
      <c r="B226" s="5">
        <f t="shared" si="15"/>
        <v>2020</v>
      </c>
      <c r="C226" s="5">
        <f t="shared" si="16"/>
        <v>7</v>
      </c>
      <c r="D226" s="5">
        <f t="shared" si="17"/>
        <v>12</v>
      </c>
      <c r="E226" s="5" t="str">
        <f t="shared" si="18"/>
        <v>July</v>
      </c>
      <c r="F226" s="6" t="s">
        <v>353</v>
      </c>
      <c r="G226" s="6" t="s">
        <v>254</v>
      </c>
      <c r="H226" s="6" t="s">
        <v>164</v>
      </c>
      <c r="I226" s="6" t="s">
        <v>165</v>
      </c>
      <c r="J226" s="6" t="s">
        <v>150</v>
      </c>
      <c r="K226" s="6" t="s">
        <v>166</v>
      </c>
      <c r="L226" s="6" t="s">
        <v>167</v>
      </c>
      <c r="M226" s="6">
        <v>3</v>
      </c>
      <c r="N226" s="7">
        <v>7800</v>
      </c>
      <c r="O226" s="7">
        <f t="shared" si="19"/>
        <v>23400</v>
      </c>
      <c r="P226" s="6" t="s">
        <v>27</v>
      </c>
      <c r="Q226" s="6" t="s">
        <v>354</v>
      </c>
      <c r="R226" s="4">
        <v>44055</v>
      </c>
      <c r="S226" s="6" t="s">
        <v>29</v>
      </c>
      <c r="T226" s="6" t="s">
        <v>36</v>
      </c>
    </row>
    <row r="227" spans="1:20" x14ac:dyDescent="0.35">
      <c r="A227" s="4">
        <v>44024</v>
      </c>
      <c r="B227" s="5">
        <f t="shared" si="15"/>
        <v>2020</v>
      </c>
      <c r="C227" s="5">
        <f t="shared" si="16"/>
        <v>7</v>
      </c>
      <c r="D227" s="5">
        <f t="shared" si="17"/>
        <v>12</v>
      </c>
      <c r="E227" s="5" t="str">
        <f t="shared" si="18"/>
        <v>July</v>
      </c>
      <c r="F227" s="6" t="s">
        <v>75</v>
      </c>
      <c r="G227" s="6" t="s">
        <v>76</v>
      </c>
      <c r="H227" s="6" t="s">
        <v>44</v>
      </c>
      <c r="I227" s="6" t="s">
        <v>149</v>
      </c>
      <c r="J227" s="6" t="s">
        <v>150</v>
      </c>
      <c r="K227" s="6" t="s">
        <v>151</v>
      </c>
      <c r="L227" s="6" t="s">
        <v>190</v>
      </c>
      <c r="M227" s="6">
        <v>1</v>
      </c>
      <c r="N227" s="7">
        <v>10050</v>
      </c>
      <c r="O227" s="7">
        <f t="shared" si="19"/>
        <v>10050</v>
      </c>
      <c r="P227" s="6" t="s">
        <v>27</v>
      </c>
      <c r="Q227" s="6" t="s">
        <v>77</v>
      </c>
      <c r="R227" s="4">
        <v>44055</v>
      </c>
      <c r="S227" s="6" t="s">
        <v>29</v>
      </c>
      <c r="T227" s="6" t="s">
        <v>30</v>
      </c>
    </row>
    <row r="228" spans="1:20" x14ac:dyDescent="0.35">
      <c r="A228" s="4">
        <v>44024</v>
      </c>
      <c r="B228" s="5">
        <f t="shared" si="15"/>
        <v>2020</v>
      </c>
      <c r="C228" s="5">
        <f t="shared" si="16"/>
        <v>7</v>
      </c>
      <c r="D228" s="5">
        <f t="shared" si="17"/>
        <v>12</v>
      </c>
      <c r="E228" s="5" t="str">
        <f t="shared" si="18"/>
        <v>July</v>
      </c>
      <c r="F228" s="6" t="s">
        <v>75</v>
      </c>
      <c r="G228" s="6" t="s">
        <v>76</v>
      </c>
      <c r="H228" s="6" t="s">
        <v>44</v>
      </c>
      <c r="I228" s="6" t="s">
        <v>149</v>
      </c>
      <c r="J228" s="6" t="s">
        <v>150</v>
      </c>
      <c r="K228" s="6" t="s">
        <v>151</v>
      </c>
      <c r="L228" s="6" t="s">
        <v>155</v>
      </c>
      <c r="M228" s="6">
        <v>2</v>
      </c>
      <c r="N228" s="7">
        <v>9120</v>
      </c>
      <c r="O228" s="7">
        <f t="shared" si="19"/>
        <v>18240</v>
      </c>
      <c r="P228" s="6" t="s">
        <v>27</v>
      </c>
      <c r="Q228" s="6" t="s">
        <v>77</v>
      </c>
      <c r="R228" s="4">
        <v>44055</v>
      </c>
      <c r="S228" s="6" t="s">
        <v>29</v>
      </c>
      <c r="T228" s="6" t="s">
        <v>30</v>
      </c>
    </row>
    <row r="229" spans="1:20" x14ac:dyDescent="0.35">
      <c r="A229" s="4">
        <v>44024</v>
      </c>
      <c r="B229" s="5">
        <f t="shared" si="15"/>
        <v>2020</v>
      </c>
      <c r="C229" s="5">
        <f t="shared" si="16"/>
        <v>7</v>
      </c>
      <c r="D229" s="5">
        <f t="shared" si="17"/>
        <v>12</v>
      </c>
      <c r="E229" s="5" t="str">
        <f t="shared" si="18"/>
        <v>July</v>
      </c>
      <c r="F229" s="6" t="s">
        <v>75</v>
      </c>
      <c r="G229" s="6" t="s">
        <v>76</v>
      </c>
      <c r="H229" s="6" t="s">
        <v>200</v>
      </c>
      <c r="I229" s="6" t="s">
        <v>286</v>
      </c>
      <c r="J229" s="6" t="s">
        <v>150</v>
      </c>
      <c r="K229" s="6" t="s">
        <v>166</v>
      </c>
      <c r="L229" s="6" t="s">
        <v>297</v>
      </c>
      <c r="M229" s="6">
        <v>1</v>
      </c>
      <c r="N229" s="7">
        <v>11120</v>
      </c>
      <c r="O229" s="7">
        <f t="shared" si="19"/>
        <v>11120</v>
      </c>
      <c r="P229" s="6" t="s">
        <v>27</v>
      </c>
      <c r="Q229" s="6" t="s">
        <v>77</v>
      </c>
      <c r="R229" s="4">
        <v>44055</v>
      </c>
      <c r="S229" s="6" t="s">
        <v>29</v>
      </c>
      <c r="T229" s="6" t="s">
        <v>30</v>
      </c>
    </row>
    <row r="230" spans="1:20" x14ac:dyDescent="0.35">
      <c r="A230" s="4">
        <v>44024</v>
      </c>
      <c r="B230" s="5">
        <f t="shared" si="15"/>
        <v>2020</v>
      </c>
      <c r="C230" s="5">
        <f t="shared" si="16"/>
        <v>7</v>
      </c>
      <c r="D230" s="5">
        <f t="shared" si="17"/>
        <v>12</v>
      </c>
      <c r="E230" s="5" t="str">
        <f t="shared" si="18"/>
        <v>July</v>
      </c>
      <c r="F230" s="6" t="s">
        <v>75</v>
      </c>
      <c r="G230" s="6" t="s">
        <v>76</v>
      </c>
      <c r="H230" s="6" t="s">
        <v>39</v>
      </c>
      <c r="I230" s="6" t="s">
        <v>172</v>
      </c>
      <c r="J230" s="6" t="s">
        <v>150</v>
      </c>
      <c r="K230" s="6" t="s">
        <v>166</v>
      </c>
      <c r="L230" s="6" t="s">
        <v>203</v>
      </c>
      <c r="M230" s="6">
        <v>1</v>
      </c>
      <c r="N230" s="7">
        <v>3750</v>
      </c>
      <c r="O230" s="7">
        <f t="shared" si="19"/>
        <v>3750</v>
      </c>
      <c r="P230" s="6" t="s">
        <v>27</v>
      </c>
      <c r="Q230" s="6" t="s">
        <v>77</v>
      </c>
      <c r="R230" s="4">
        <v>44055</v>
      </c>
      <c r="S230" s="6" t="s">
        <v>29</v>
      </c>
      <c r="T230" s="6" t="s">
        <v>30</v>
      </c>
    </row>
    <row r="231" spans="1:20" x14ac:dyDescent="0.35">
      <c r="A231" s="4">
        <v>44024</v>
      </c>
      <c r="B231" s="5">
        <f t="shared" si="15"/>
        <v>2020</v>
      </c>
      <c r="C231" s="5">
        <f t="shared" si="16"/>
        <v>7</v>
      </c>
      <c r="D231" s="5">
        <f t="shared" si="17"/>
        <v>12</v>
      </c>
      <c r="E231" s="5" t="str">
        <f t="shared" si="18"/>
        <v>July</v>
      </c>
      <c r="F231" s="6" t="s">
        <v>75</v>
      </c>
      <c r="G231" s="6" t="s">
        <v>76</v>
      </c>
      <c r="H231" s="6" t="s">
        <v>128</v>
      </c>
      <c r="I231" s="6" t="s">
        <v>355</v>
      </c>
      <c r="J231" s="6" t="s">
        <v>150</v>
      </c>
      <c r="K231" s="6" t="s">
        <v>356</v>
      </c>
      <c r="L231" s="6" t="s">
        <v>357</v>
      </c>
      <c r="M231" s="6">
        <v>1</v>
      </c>
      <c r="N231" s="7">
        <v>7500</v>
      </c>
      <c r="O231" s="7">
        <f t="shared" si="19"/>
        <v>7500</v>
      </c>
      <c r="P231" s="6" t="s">
        <v>27</v>
      </c>
      <c r="Q231" s="6" t="s">
        <v>77</v>
      </c>
      <c r="R231" s="4">
        <v>44055</v>
      </c>
      <c r="S231" s="6" t="s">
        <v>29</v>
      </c>
      <c r="T231" s="6" t="s">
        <v>30</v>
      </c>
    </row>
    <row r="232" spans="1:20" x14ac:dyDescent="0.35">
      <c r="A232" s="4">
        <v>44024</v>
      </c>
      <c r="B232" s="5">
        <f t="shared" si="15"/>
        <v>2020</v>
      </c>
      <c r="C232" s="5">
        <f t="shared" si="16"/>
        <v>7</v>
      </c>
      <c r="D232" s="5">
        <f t="shared" si="17"/>
        <v>12</v>
      </c>
      <c r="E232" s="5" t="str">
        <f t="shared" si="18"/>
        <v>July</v>
      </c>
      <c r="F232" s="6" t="s">
        <v>358</v>
      </c>
      <c r="G232" s="6" t="s">
        <v>160</v>
      </c>
      <c r="H232" s="6" t="s">
        <v>39</v>
      </c>
      <c r="I232" s="6" t="s">
        <v>172</v>
      </c>
      <c r="J232" s="6" t="s">
        <v>150</v>
      </c>
      <c r="K232" s="6" t="s">
        <v>166</v>
      </c>
      <c r="L232" s="6" t="s">
        <v>203</v>
      </c>
      <c r="M232" s="6">
        <v>5</v>
      </c>
      <c r="N232" s="7">
        <v>3750</v>
      </c>
      <c r="O232" s="7">
        <f t="shared" si="19"/>
        <v>18750</v>
      </c>
      <c r="P232" s="6" t="s">
        <v>27</v>
      </c>
      <c r="Q232" s="6" t="s">
        <v>61</v>
      </c>
      <c r="R232" s="4">
        <v>44055</v>
      </c>
      <c r="S232" s="6" t="s">
        <v>29</v>
      </c>
      <c r="T232" s="6" t="s">
        <v>30</v>
      </c>
    </row>
    <row r="233" spans="1:20" x14ac:dyDescent="0.35">
      <c r="A233" s="4">
        <v>44024</v>
      </c>
      <c r="B233" s="5">
        <f t="shared" si="15"/>
        <v>2020</v>
      </c>
      <c r="C233" s="5">
        <f t="shared" si="16"/>
        <v>7</v>
      </c>
      <c r="D233" s="5">
        <f t="shared" si="17"/>
        <v>12</v>
      </c>
      <c r="E233" s="5" t="str">
        <f t="shared" si="18"/>
        <v>July</v>
      </c>
      <c r="F233" s="6" t="s">
        <v>358</v>
      </c>
      <c r="G233" s="6" t="s">
        <v>160</v>
      </c>
      <c r="H233" s="6" t="s">
        <v>219</v>
      </c>
      <c r="I233" s="6" t="s">
        <v>220</v>
      </c>
      <c r="J233" s="6" t="s">
        <v>150</v>
      </c>
      <c r="K233" s="6" t="s">
        <v>221</v>
      </c>
      <c r="L233" s="6" t="s">
        <v>328</v>
      </c>
      <c r="M233" s="6">
        <v>10</v>
      </c>
      <c r="N233" s="7">
        <v>3180</v>
      </c>
      <c r="O233" s="7">
        <f t="shared" si="19"/>
        <v>31800</v>
      </c>
      <c r="P233" s="6" t="s">
        <v>27</v>
      </c>
      <c r="Q233" s="6" t="s">
        <v>61</v>
      </c>
      <c r="R233" s="4">
        <v>44055</v>
      </c>
      <c r="S233" s="6" t="s">
        <v>29</v>
      </c>
      <c r="T233" s="6" t="s">
        <v>30</v>
      </c>
    </row>
    <row r="234" spans="1:20" x14ac:dyDescent="0.35">
      <c r="A234" s="4">
        <v>44024</v>
      </c>
      <c r="B234" s="5">
        <f t="shared" si="15"/>
        <v>2020</v>
      </c>
      <c r="C234" s="5">
        <f t="shared" si="16"/>
        <v>7</v>
      </c>
      <c r="D234" s="5">
        <f t="shared" si="17"/>
        <v>12</v>
      </c>
      <c r="E234" s="5" t="str">
        <f t="shared" si="18"/>
        <v>July</v>
      </c>
      <c r="F234" s="6" t="s">
        <v>359</v>
      </c>
      <c r="G234" s="6" t="s">
        <v>148</v>
      </c>
      <c r="H234" s="6" t="s">
        <v>44</v>
      </c>
      <c r="I234" s="6" t="s">
        <v>156</v>
      </c>
      <c r="J234" s="6" t="s">
        <v>150</v>
      </c>
      <c r="K234" s="6" t="s">
        <v>157</v>
      </c>
      <c r="L234" s="6" t="s">
        <v>337</v>
      </c>
      <c r="M234" s="6">
        <v>1</v>
      </c>
      <c r="N234" s="7">
        <v>7450</v>
      </c>
      <c r="O234" s="7">
        <f t="shared" si="19"/>
        <v>7450</v>
      </c>
      <c r="P234" s="6" t="s">
        <v>27</v>
      </c>
      <c r="Q234" s="6" t="s">
        <v>360</v>
      </c>
      <c r="R234" s="4">
        <v>44055</v>
      </c>
      <c r="S234" s="6" t="s">
        <v>29</v>
      </c>
      <c r="T234" s="6" t="s">
        <v>65</v>
      </c>
    </row>
    <row r="235" spans="1:20" x14ac:dyDescent="0.35">
      <c r="A235" s="4">
        <v>44024</v>
      </c>
      <c r="B235" s="5">
        <f t="shared" si="15"/>
        <v>2020</v>
      </c>
      <c r="C235" s="5">
        <f t="shared" si="16"/>
        <v>7</v>
      </c>
      <c r="D235" s="5">
        <f t="shared" si="17"/>
        <v>12</v>
      </c>
      <c r="E235" s="5" t="str">
        <f t="shared" si="18"/>
        <v>July</v>
      </c>
      <c r="F235" s="6" t="s">
        <v>359</v>
      </c>
      <c r="G235" s="6" t="s">
        <v>148</v>
      </c>
      <c r="H235" s="6" t="s">
        <v>44</v>
      </c>
      <c r="I235" s="6" t="s">
        <v>149</v>
      </c>
      <c r="J235" s="6" t="s">
        <v>150</v>
      </c>
      <c r="K235" s="6" t="s">
        <v>151</v>
      </c>
      <c r="L235" s="6" t="s">
        <v>190</v>
      </c>
      <c r="M235" s="6">
        <v>1</v>
      </c>
      <c r="N235" s="7">
        <v>10050</v>
      </c>
      <c r="O235" s="7">
        <f t="shared" si="19"/>
        <v>10050</v>
      </c>
      <c r="P235" s="6" t="s">
        <v>27</v>
      </c>
      <c r="Q235" s="6" t="s">
        <v>360</v>
      </c>
      <c r="R235" s="4">
        <v>44055</v>
      </c>
      <c r="S235" s="6" t="s">
        <v>29</v>
      </c>
      <c r="T235" s="6" t="s">
        <v>65</v>
      </c>
    </row>
    <row r="236" spans="1:20" x14ac:dyDescent="0.35">
      <c r="A236" s="4">
        <v>44024</v>
      </c>
      <c r="B236" s="5">
        <f t="shared" si="15"/>
        <v>2020</v>
      </c>
      <c r="C236" s="5">
        <f t="shared" si="16"/>
        <v>7</v>
      </c>
      <c r="D236" s="5">
        <f t="shared" si="17"/>
        <v>12</v>
      </c>
      <c r="E236" s="5" t="str">
        <f t="shared" si="18"/>
        <v>July</v>
      </c>
      <c r="F236" s="6" t="s">
        <v>359</v>
      </c>
      <c r="G236" s="6" t="s">
        <v>148</v>
      </c>
      <c r="H236" s="6" t="s">
        <v>44</v>
      </c>
      <c r="I236" s="6" t="s">
        <v>149</v>
      </c>
      <c r="J236" s="6" t="s">
        <v>150</v>
      </c>
      <c r="K236" s="6" t="s">
        <v>151</v>
      </c>
      <c r="L236" s="6" t="s">
        <v>155</v>
      </c>
      <c r="M236" s="6">
        <v>1</v>
      </c>
      <c r="N236" s="7">
        <v>9120</v>
      </c>
      <c r="O236" s="7">
        <f t="shared" si="19"/>
        <v>9120</v>
      </c>
      <c r="P236" s="6" t="s">
        <v>27</v>
      </c>
      <c r="Q236" s="6" t="s">
        <v>360</v>
      </c>
      <c r="R236" s="4">
        <v>44055</v>
      </c>
      <c r="S236" s="6" t="s">
        <v>29</v>
      </c>
      <c r="T236" s="6" t="s">
        <v>65</v>
      </c>
    </row>
    <row r="237" spans="1:20" x14ac:dyDescent="0.35">
      <c r="A237" s="4">
        <v>44024</v>
      </c>
      <c r="B237" s="5">
        <f t="shared" si="15"/>
        <v>2020</v>
      </c>
      <c r="C237" s="5">
        <f t="shared" si="16"/>
        <v>7</v>
      </c>
      <c r="D237" s="5">
        <f t="shared" si="17"/>
        <v>12</v>
      </c>
      <c r="E237" s="5" t="str">
        <f t="shared" si="18"/>
        <v>July</v>
      </c>
      <c r="F237" s="6" t="s">
        <v>359</v>
      </c>
      <c r="G237" s="6" t="s">
        <v>148</v>
      </c>
      <c r="H237" s="6" t="s">
        <v>219</v>
      </c>
      <c r="I237" s="6" t="s">
        <v>220</v>
      </c>
      <c r="J237" s="6" t="s">
        <v>150</v>
      </c>
      <c r="K237" s="6" t="s">
        <v>221</v>
      </c>
      <c r="L237" s="6" t="s">
        <v>284</v>
      </c>
      <c r="M237" s="6">
        <v>2</v>
      </c>
      <c r="N237" s="7">
        <v>2780</v>
      </c>
      <c r="O237" s="7">
        <f t="shared" si="19"/>
        <v>5560</v>
      </c>
      <c r="P237" s="6" t="s">
        <v>27</v>
      </c>
      <c r="Q237" s="6" t="s">
        <v>360</v>
      </c>
      <c r="R237" s="4">
        <v>44055</v>
      </c>
      <c r="S237" s="6" t="s">
        <v>29</v>
      </c>
      <c r="T237" s="6" t="s">
        <v>65</v>
      </c>
    </row>
    <row r="238" spans="1:20" x14ac:dyDescent="0.35">
      <c r="A238" s="4">
        <v>43933</v>
      </c>
      <c r="B238" s="5">
        <f t="shared" si="15"/>
        <v>2020</v>
      </c>
      <c r="C238" s="5">
        <f t="shared" si="16"/>
        <v>4</v>
      </c>
      <c r="D238" s="5">
        <f t="shared" si="17"/>
        <v>12</v>
      </c>
      <c r="E238" s="5" t="str">
        <f t="shared" si="18"/>
        <v>April</v>
      </c>
      <c r="F238" s="6" t="s">
        <v>137</v>
      </c>
      <c r="G238" s="6" t="s">
        <v>138</v>
      </c>
      <c r="H238" s="6" t="s">
        <v>168</v>
      </c>
      <c r="I238" s="6" t="s">
        <v>169</v>
      </c>
      <c r="J238" s="6" t="s">
        <v>150</v>
      </c>
      <c r="K238" s="6" t="s">
        <v>170</v>
      </c>
      <c r="L238" s="6" t="s">
        <v>185</v>
      </c>
      <c r="M238" s="6">
        <v>1</v>
      </c>
      <c r="N238" s="7">
        <v>3000</v>
      </c>
      <c r="O238" s="7">
        <f t="shared" si="19"/>
        <v>3000</v>
      </c>
      <c r="P238" s="6" t="s">
        <v>27</v>
      </c>
      <c r="Q238" s="6" t="s">
        <v>139</v>
      </c>
      <c r="R238" s="4">
        <v>44055</v>
      </c>
      <c r="S238" s="6" t="s">
        <v>29</v>
      </c>
      <c r="T238" s="6" t="s">
        <v>65</v>
      </c>
    </row>
    <row r="239" spans="1:20" x14ac:dyDescent="0.35">
      <c r="A239" s="4">
        <v>43933</v>
      </c>
      <c r="B239" s="5">
        <f t="shared" si="15"/>
        <v>2020</v>
      </c>
      <c r="C239" s="5">
        <f t="shared" si="16"/>
        <v>4</v>
      </c>
      <c r="D239" s="5">
        <f t="shared" si="17"/>
        <v>12</v>
      </c>
      <c r="E239" s="5" t="str">
        <f t="shared" si="18"/>
        <v>April</v>
      </c>
      <c r="F239" s="6" t="s">
        <v>137</v>
      </c>
      <c r="G239" s="6" t="s">
        <v>138</v>
      </c>
      <c r="H239" s="6" t="s">
        <v>293</v>
      </c>
      <c r="I239" s="6" t="s">
        <v>294</v>
      </c>
      <c r="J239" s="6" t="s">
        <v>150</v>
      </c>
      <c r="K239" s="6" t="s">
        <v>157</v>
      </c>
      <c r="L239" s="6" t="s">
        <v>295</v>
      </c>
      <c r="M239" s="6">
        <v>1</v>
      </c>
      <c r="N239" s="7">
        <v>5100</v>
      </c>
      <c r="O239" s="7">
        <f t="shared" si="19"/>
        <v>5100</v>
      </c>
      <c r="P239" s="6" t="s">
        <v>27</v>
      </c>
      <c r="Q239" s="6" t="s">
        <v>139</v>
      </c>
      <c r="R239" s="4">
        <v>44055</v>
      </c>
      <c r="S239" s="6" t="s">
        <v>29</v>
      </c>
      <c r="T239" s="6" t="s">
        <v>65</v>
      </c>
    </row>
    <row r="240" spans="1:20" x14ac:dyDescent="0.35">
      <c r="A240" s="4">
        <v>44024</v>
      </c>
      <c r="B240" s="5">
        <f t="shared" si="15"/>
        <v>2020</v>
      </c>
      <c r="C240" s="5">
        <f t="shared" si="16"/>
        <v>7</v>
      </c>
      <c r="D240" s="5">
        <f t="shared" si="17"/>
        <v>12</v>
      </c>
      <c r="E240" s="5" t="str">
        <f t="shared" si="18"/>
        <v>July</v>
      </c>
      <c r="F240" s="6" t="s">
        <v>78</v>
      </c>
      <c r="G240" s="6" t="s">
        <v>79</v>
      </c>
      <c r="H240" s="6" t="s">
        <v>44</v>
      </c>
      <c r="I240" s="6" t="s">
        <v>149</v>
      </c>
      <c r="J240" s="6" t="s">
        <v>150</v>
      </c>
      <c r="K240" s="6" t="s">
        <v>151</v>
      </c>
      <c r="L240" s="6" t="s">
        <v>155</v>
      </c>
      <c r="M240" s="6">
        <v>1</v>
      </c>
      <c r="N240" s="7">
        <v>9120</v>
      </c>
      <c r="O240" s="7">
        <f t="shared" si="19"/>
        <v>9120</v>
      </c>
      <c r="P240" s="6" t="s">
        <v>27</v>
      </c>
      <c r="Q240" s="6" t="s">
        <v>81</v>
      </c>
      <c r="R240" s="4">
        <v>44055</v>
      </c>
      <c r="S240" s="6" t="s">
        <v>29</v>
      </c>
      <c r="T240" s="6" t="s">
        <v>65</v>
      </c>
    </row>
    <row r="241" spans="1:20" x14ac:dyDescent="0.35">
      <c r="A241" s="4">
        <v>44024</v>
      </c>
      <c r="B241" s="5">
        <f t="shared" si="15"/>
        <v>2020</v>
      </c>
      <c r="C241" s="5">
        <f t="shared" si="16"/>
        <v>7</v>
      </c>
      <c r="D241" s="5">
        <f t="shared" si="17"/>
        <v>12</v>
      </c>
      <c r="E241" s="5" t="str">
        <f t="shared" si="18"/>
        <v>July</v>
      </c>
      <c r="F241" s="6" t="s">
        <v>78</v>
      </c>
      <c r="G241" s="6" t="s">
        <v>79</v>
      </c>
      <c r="H241" s="6" t="s">
        <v>39</v>
      </c>
      <c r="I241" s="6" t="s">
        <v>172</v>
      </c>
      <c r="J241" s="6" t="s">
        <v>150</v>
      </c>
      <c r="K241" s="6" t="s">
        <v>166</v>
      </c>
      <c r="L241" s="6" t="s">
        <v>203</v>
      </c>
      <c r="M241" s="6">
        <v>1</v>
      </c>
      <c r="N241" s="7">
        <v>3750</v>
      </c>
      <c r="O241" s="7">
        <f t="shared" si="19"/>
        <v>3750</v>
      </c>
      <c r="P241" s="6" t="s">
        <v>27</v>
      </c>
      <c r="Q241" s="6" t="s">
        <v>81</v>
      </c>
      <c r="R241" s="4">
        <v>44055</v>
      </c>
      <c r="S241" s="6" t="s">
        <v>29</v>
      </c>
      <c r="T241" s="6" t="s">
        <v>65</v>
      </c>
    </row>
    <row r="242" spans="1:20" x14ac:dyDescent="0.35">
      <c r="A242" s="4">
        <v>44024</v>
      </c>
      <c r="B242" s="5">
        <f t="shared" si="15"/>
        <v>2020</v>
      </c>
      <c r="C242" s="5">
        <f t="shared" si="16"/>
        <v>7</v>
      </c>
      <c r="D242" s="5">
        <f t="shared" si="17"/>
        <v>12</v>
      </c>
      <c r="E242" s="5" t="str">
        <f t="shared" si="18"/>
        <v>July</v>
      </c>
      <c r="F242" s="6" t="s">
        <v>78</v>
      </c>
      <c r="G242" s="6" t="s">
        <v>79</v>
      </c>
      <c r="H242" s="6" t="s">
        <v>200</v>
      </c>
      <c r="I242" s="6" t="s">
        <v>201</v>
      </c>
      <c r="J242" s="6" t="s">
        <v>150</v>
      </c>
      <c r="K242" s="6" t="s">
        <v>166</v>
      </c>
      <c r="L242" s="6" t="s">
        <v>206</v>
      </c>
      <c r="M242" s="6">
        <v>1</v>
      </c>
      <c r="N242" s="7">
        <v>6750</v>
      </c>
      <c r="O242" s="7">
        <f t="shared" si="19"/>
        <v>6750</v>
      </c>
      <c r="P242" s="6" t="s">
        <v>27</v>
      </c>
      <c r="Q242" s="6" t="s">
        <v>81</v>
      </c>
      <c r="R242" s="4">
        <v>44055</v>
      </c>
      <c r="S242" s="6" t="s">
        <v>29</v>
      </c>
      <c r="T242" s="6" t="s">
        <v>65</v>
      </c>
    </row>
    <row r="243" spans="1:20" x14ac:dyDescent="0.35">
      <c r="A243" s="4">
        <v>44055</v>
      </c>
      <c r="B243" s="5">
        <f t="shared" si="15"/>
        <v>2020</v>
      </c>
      <c r="C243" s="5">
        <f t="shared" si="16"/>
        <v>8</v>
      </c>
      <c r="D243" s="5">
        <f t="shared" si="17"/>
        <v>12</v>
      </c>
      <c r="E243" s="5" t="str">
        <f t="shared" si="18"/>
        <v>August</v>
      </c>
      <c r="F243" s="6" t="s">
        <v>361</v>
      </c>
      <c r="G243" s="6" t="s">
        <v>362</v>
      </c>
      <c r="H243" s="6" t="s">
        <v>44</v>
      </c>
      <c r="I243" s="6" t="s">
        <v>149</v>
      </c>
      <c r="J243" s="6" t="s">
        <v>150</v>
      </c>
      <c r="K243" s="6" t="s">
        <v>151</v>
      </c>
      <c r="L243" s="6" t="s">
        <v>152</v>
      </c>
      <c r="M243" s="6">
        <v>1</v>
      </c>
      <c r="N243" s="7">
        <v>11200</v>
      </c>
      <c r="O243" s="7">
        <f t="shared" si="19"/>
        <v>11200</v>
      </c>
      <c r="P243" s="6" t="s">
        <v>27</v>
      </c>
      <c r="Q243" s="6" t="s">
        <v>126</v>
      </c>
      <c r="R243" s="4">
        <v>44086</v>
      </c>
      <c r="S243" s="6" t="s">
        <v>29</v>
      </c>
      <c r="T243" s="6" t="s">
        <v>65</v>
      </c>
    </row>
    <row r="244" spans="1:20" x14ac:dyDescent="0.35">
      <c r="A244" s="4">
        <v>44055</v>
      </c>
      <c r="B244" s="5">
        <f t="shared" si="15"/>
        <v>2020</v>
      </c>
      <c r="C244" s="5">
        <f t="shared" si="16"/>
        <v>8</v>
      </c>
      <c r="D244" s="5">
        <f t="shared" si="17"/>
        <v>12</v>
      </c>
      <c r="E244" s="5" t="str">
        <f t="shared" si="18"/>
        <v>August</v>
      </c>
      <c r="F244" s="6" t="s">
        <v>361</v>
      </c>
      <c r="G244" s="6" t="s">
        <v>362</v>
      </c>
      <c r="H244" s="6" t="s">
        <v>44</v>
      </c>
      <c r="I244" s="6" t="s">
        <v>156</v>
      </c>
      <c r="J244" s="6" t="s">
        <v>150</v>
      </c>
      <c r="K244" s="6" t="s">
        <v>157</v>
      </c>
      <c r="L244" s="6" t="s">
        <v>337</v>
      </c>
      <c r="M244" s="6">
        <v>1</v>
      </c>
      <c r="N244" s="7">
        <v>7450</v>
      </c>
      <c r="O244" s="7">
        <f t="shared" si="19"/>
        <v>7450</v>
      </c>
      <c r="P244" s="6" t="s">
        <v>27</v>
      </c>
      <c r="Q244" s="6" t="s">
        <v>126</v>
      </c>
      <c r="R244" s="4">
        <v>44086</v>
      </c>
      <c r="S244" s="6" t="s">
        <v>29</v>
      </c>
      <c r="T244" s="6" t="s">
        <v>65</v>
      </c>
    </row>
    <row r="245" spans="1:20" x14ac:dyDescent="0.35">
      <c r="A245" s="4">
        <v>44055</v>
      </c>
      <c r="B245" s="5">
        <f t="shared" si="15"/>
        <v>2020</v>
      </c>
      <c r="C245" s="5">
        <f t="shared" si="16"/>
        <v>8</v>
      </c>
      <c r="D245" s="5">
        <f t="shared" si="17"/>
        <v>12</v>
      </c>
      <c r="E245" s="5" t="str">
        <f t="shared" si="18"/>
        <v>August</v>
      </c>
      <c r="F245" s="6" t="s">
        <v>361</v>
      </c>
      <c r="G245" s="6" t="s">
        <v>362</v>
      </c>
      <c r="H245" s="6" t="s">
        <v>176</v>
      </c>
      <c r="I245" s="6" t="s">
        <v>177</v>
      </c>
      <c r="J245" s="6" t="s">
        <v>150</v>
      </c>
      <c r="K245" s="6" t="s">
        <v>157</v>
      </c>
      <c r="L245" s="6" t="s">
        <v>292</v>
      </c>
      <c r="M245" s="6">
        <v>1</v>
      </c>
      <c r="N245" s="7">
        <v>5900</v>
      </c>
      <c r="O245" s="7">
        <f t="shared" si="19"/>
        <v>5900</v>
      </c>
      <c r="P245" s="6" t="s">
        <v>27</v>
      </c>
      <c r="Q245" s="6" t="s">
        <v>126</v>
      </c>
      <c r="R245" s="4">
        <v>44086</v>
      </c>
      <c r="S245" s="6" t="s">
        <v>29</v>
      </c>
      <c r="T245" s="6" t="s">
        <v>30</v>
      </c>
    </row>
    <row r="246" spans="1:20" x14ac:dyDescent="0.35">
      <c r="A246" s="4">
        <v>44055</v>
      </c>
      <c r="B246" s="5">
        <f t="shared" si="15"/>
        <v>2020</v>
      </c>
      <c r="C246" s="5">
        <f t="shared" si="16"/>
        <v>8</v>
      </c>
      <c r="D246" s="5">
        <f t="shared" si="17"/>
        <v>12</v>
      </c>
      <c r="E246" s="5" t="str">
        <f t="shared" si="18"/>
        <v>August</v>
      </c>
      <c r="F246" s="6" t="s">
        <v>361</v>
      </c>
      <c r="G246" s="6" t="s">
        <v>362</v>
      </c>
      <c r="H246" s="6" t="s">
        <v>176</v>
      </c>
      <c r="I246" s="6" t="s">
        <v>281</v>
      </c>
      <c r="J246" s="6" t="s">
        <v>150</v>
      </c>
      <c r="K246" s="6" t="s">
        <v>282</v>
      </c>
      <c r="L246" s="6" t="s">
        <v>283</v>
      </c>
      <c r="M246" s="6">
        <v>1</v>
      </c>
      <c r="N246" s="7">
        <v>3300</v>
      </c>
      <c r="O246" s="7">
        <f t="shared" si="19"/>
        <v>3300</v>
      </c>
      <c r="P246" s="6" t="s">
        <v>27</v>
      </c>
      <c r="Q246" s="6" t="s">
        <v>126</v>
      </c>
      <c r="R246" s="4">
        <v>44086</v>
      </c>
      <c r="S246" s="6" t="s">
        <v>29</v>
      </c>
      <c r="T246" s="6" t="s">
        <v>30</v>
      </c>
    </row>
    <row r="247" spans="1:20" x14ac:dyDescent="0.35">
      <c r="A247" s="4">
        <v>44055</v>
      </c>
      <c r="B247" s="5">
        <f t="shared" si="15"/>
        <v>2020</v>
      </c>
      <c r="C247" s="5">
        <f t="shared" si="16"/>
        <v>8</v>
      </c>
      <c r="D247" s="5">
        <f t="shared" si="17"/>
        <v>12</v>
      </c>
      <c r="E247" s="5" t="str">
        <f t="shared" si="18"/>
        <v>August</v>
      </c>
      <c r="F247" s="6" t="s">
        <v>361</v>
      </c>
      <c r="G247" s="6" t="s">
        <v>362</v>
      </c>
      <c r="H247" s="6" t="s">
        <v>39</v>
      </c>
      <c r="I247" s="6" t="s">
        <v>268</v>
      </c>
      <c r="J247" s="6" t="s">
        <v>150</v>
      </c>
      <c r="K247" s="6" t="s">
        <v>166</v>
      </c>
      <c r="L247" s="6" t="s">
        <v>269</v>
      </c>
      <c r="M247" s="6">
        <v>1</v>
      </c>
      <c r="N247" s="7">
        <v>8800</v>
      </c>
      <c r="O247" s="7">
        <f t="shared" si="19"/>
        <v>8800</v>
      </c>
      <c r="P247" s="6" t="s">
        <v>27</v>
      </c>
      <c r="Q247" s="6" t="s">
        <v>126</v>
      </c>
      <c r="R247" s="4">
        <v>44086</v>
      </c>
      <c r="S247" s="6" t="s">
        <v>29</v>
      </c>
      <c r="T247" s="6" t="s">
        <v>30</v>
      </c>
    </row>
    <row r="248" spans="1:20" x14ac:dyDescent="0.35">
      <c r="A248" s="4">
        <v>44055</v>
      </c>
      <c r="B248" s="5">
        <f t="shared" si="15"/>
        <v>2020</v>
      </c>
      <c r="C248" s="5">
        <f t="shared" si="16"/>
        <v>8</v>
      </c>
      <c r="D248" s="5">
        <f t="shared" si="17"/>
        <v>12</v>
      </c>
      <c r="E248" s="5" t="str">
        <f t="shared" si="18"/>
        <v>August</v>
      </c>
      <c r="F248" s="6" t="s">
        <v>361</v>
      </c>
      <c r="G248" s="6" t="s">
        <v>362</v>
      </c>
      <c r="H248" s="6" t="s">
        <v>219</v>
      </c>
      <c r="I248" s="6" t="s">
        <v>220</v>
      </c>
      <c r="J248" s="6" t="s">
        <v>150</v>
      </c>
      <c r="K248" s="6" t="s">
        <v>221</v>
      </c>
      <c r="L248" s="6" t="s">
        <v>328</v>
      </c>
      <c r="M248" s="6">
        <v>1</v>
      </c>
      <c r="N248" s="7">
        <v>3180</v>
      </c>
      <c r="O248" s="7">
        <f t="shared" si="19"/>
        <v>3180</v>
      </c>
      <c r="P248" s="6" t="s">
        <v>27</v>
      </c>
      <c r="Q248" s="6" t="s">
        <v>126</v>
      </c>
      <c r="R248" s="4">
        <v>44086</v>
      </c>
      <c r="S248" s="6" t="s">
        <v>29</v>
      </c>
      <c r="T248" s="6" t="s">
        <v>30</v>
      </c>
    </row>
    <row r="249" spans="1:20" x14ac:dyDescent="0.35">
      <c r="A249" s="4">
        <v>44055</v>
      </c>
      <c r="B249" s="5">
        <f t="shared" si="15"/>
        <v>2020</v>
      </c>
      <c r="C249" s="5">
        <f t="shared" si="16"/>
        <v>8</v>
      </c>
      <c r="D249" s="5">
        <f t="shared" si="17"/>
        <v>12</v>
      </c>
      <c r="E249" s="5" t="str">
        <f t="shared" si="18"/>
        <v>August</v>
      </c>
      <c r="F249" s="6" t="s">
        <v>363</v>
      </c>
      <c r="G249" s="6" t="s">
        <v>205</v>
      </c>
      <c r="H249" s="6" t="s">
        <v>164</v>
      </c>
      <c r="I249" s="6" t="s">
        <v>165</v>
      </c>
      <c r="J249" s="6" t="s">
        <v>150</v>
      </c>
      <c r="K249" s="6" t="s">
        <v>166</v>
      </c>
      <c r="L249" s="6" t="s">
        <v>167</v>
      </c>
      <c r="M249" s="6">
        <v>1</v>
      </c>
      <c r="N249" s="7">
        <v>7800</v>
      </c>
      <c r="O249" s="7">
        <f t="shared" si="19"/>
        <v>7800</v>
      </c>
      <c r="P249" s="6" t="s">
        <v>27</v>
      </c>
      <c r="Q249" s="6" t="s">
        <v>207</v>
      </c>
      <c r="R249" s="4">
        <v>44086</v>
      </c>
      <c r="S249" s="6" t="s">
        <v>29</v>
      </c>
      <c r="T249" s="6" t="s">
        <v>36</v>
      </c>
    </row>
    <row r="250" spans="1:20" x14ac:dyDescent="0.35">
      <c r="A250" s="4">
        <v>44055</v>
      </c>
      <c r="B250" s="5">
        <f t="shared" si="15"/>
        <v>2020</v>
      </c>
      <c r="C250" s="5">
        <f t="shared" si="16"/>
        <v>8</v>
      </c>
      <c r="D250" s="5">
        <f t="shared" si="17"/>
        <v>12</v>
      </c>
      <c r="E250" s="5" t="str">
        <f t="shared" si="18"/>
        <v>August</v>
      </c>
      <c r="F250" s="6" t="s">
        <v>363</v>
      </c>
      <c r="G250" s="6" t="s">
        <v>205</v>
      </c>
      <c r="H250" s="6" t="s">
        <v>364</v>
      </c>
      <c r="I250" s="6" t="s">
        <v>365</v>
      </c>
      <c r="J250" s="6" t="s">
        <v>150</v>
      </c>
      <c r="K250" s="6" t="s">
        <v>366</v>
      </c>
      <c r="L250" s="6" t="s">
        <v>367</v>
      </c>
      <c r="M250" s="6">
        <v>1</v>
      </c>
      <c r="N250" s="7">
        <v>4200</v>
      </c>
      <c r="O250" s="7">
        <f t="shared" si="19"/>
        <v>4200</v>
      </c>
      <c r="P250" s="6" t="s">
        <v>27</v>
      </c>
      <c r="Q250" s="6" t="s">
        <v>207</v>
      </c>
      <c r="R250" s="4">
        <v>44086</v>
      </c>
      <c r="S250" s="6" t="s">
        <v>29</v>
      </c>
      <c r="T250" s="6" t="s">
        <v>36</v>
      </c>
    </row>
    <row r="251" spans="1:20" x14ac:dyDescent="0.35">
      <c r="A251" s="4">
        <v>44055</v>
      </c>
      <c r="B251" s="5">
        <f t="shared" si="15"/>
        <v>2020</v>
      </c>
      <c r="C251" s="5">
        <f t="shared" si="16"/>
        <v>8</v>
      </c>
      <c r="D251" s="5">
        <f t="shared" si="17"/>
        <v>12</v>
      </c>
      <c r="E251" s="5" t="str">
        <f t="shared" si="18"/>
        <v>August</v>
      </c>
      <c r="F251" s="6" t="s">
        <v>363</v>
      </c>
      <c r="G251" s="6" t="s">
        <v>205</v>
      </c>
      <c r="H251" s="6" t="s">
        <v>176</v>
      </c>
      <c r="I251" s="6" t="s">
        <v>177</v>
      </c>
      <c r="J251" s="6" t="s">
        <v>150</v>
      </c>
      <c r="K251" s="6" t="s">
        <v>157</v>
      </c>
      <c r="L251" s="6" t="s">
        <v>178</v>
      </c>
      <c r="M251" s="6">
        <v>5</v>
      </c>
      <c r="N251" s="7">
        <v>2000</v>
      </c>
      <c r="O251" s="7">
        <f t="shared" si="19"/>
        <v>10000</v>
      </c>
      <c r="P251" s="6" t="s">
        <v>27</v>
      </c>
      <c r="Q251" s="6" t="s">
        <v>207</v>
      </c>
      <c r="R251" s="4">
        <v>44086</v>
      </c>
      <c r="S251" s="6" t="s">
        <v>29</v>
      </c>
      <c r="T251" s="6" t="s">
        <v>36</v>
      </c>
    </row>
    <row r="252" spans="1:20" x14ac:dyDescent="0.35">
      <c r="A252" s="4">
        <v>44055</v>
      </c>
      <c r="B252" s="5">
        <f t="shared" si="15"/>
        <v>2020</v>
      </c>
      <c r="C252" s="5">
        <f t="shared" si="16"/>
        <v>8</v>
      </c>
      <c r="D252" s="5">
        <f t="shared" si="17"/>
        <v>12</v>
      </c>
      <c r="E252" s="5" t="str">
        <f t="shared" si="18"/>
        <v>August</v>
      </c>
      <c r="F252" s="6" t="s">
        <v>368</v>
      </c>
      <c r="G252" s="6" t="s">
        <v>369</v>
      </c>
      <c r="H252" s="6" t="s">
        <v>44</v>
      </c>
      <c r="I252" s="6" t="s">
        <v>149</v>
      </c>
      <c r="J252" s="6" t="s">
        <v>150</v>
      </c>
      <c r="K252" s="6" t="s">
        <v>151</v>
      </c>
      <c r="L252" s="6" t="s">
        <v>155</v>
      </c>
      <c r="M252" s="6">
        <v>10</v>
      </c>
      <c r="N252" s="7">
        <v>9120</v>
      </c>
      <c r="O252" s="7">
        <f t="shared" si="19"/>
        <v>91200</v>
      </c>
      <c r="P252" s="6" t="s">
        <v>27</v>
      </c>
      <c r="Q252" s="6" t="s">
        <v>275</v>
      </c>
      <c r="R252" s="4">
        <v>44086</v>
      </c>
      <c r="S252" s="6" t="s">
        <v>29</v>
      </c>
      <c r="T252" s="6" t="s">
        <v>36</v>
      </c>
    </row>
    <row r="253" spans="1:20" x14ac:dyDescent="0.35">
      <c r="A253" s="4">
        <v>44055</v>
      </c>
      <c r="B253" s="5">
        <f t="shared" si="15"/>
        <v>2020</v>
      </c>
      <c r="C253" s="5">
        <f t="shared" si="16"/>
        <v>8</v>
      </c>
      <c r="D253" s="5">
        <f t="shared" si="17"/>
        <v>12</v>
      </c>
      <c r="E253" s="5" t="str">
        <f t="shared" si="18"/>
        <v>August</v>
      </c>
      <c r="F253" s="6" t="s">
        <v>370</v>
      </c>
      <c r="G253" s="6" t="s">
        <v>369</v>
      </c>
      <c r="H253" s="6" t="s">
        <v>164</v>
      </c>
      <c r="I253" s="6" t="s">
        <v>165</v>
      </c>
      <c r="J253" s="6" t="s">
        <v>150</v>
      </c>
      <c r="K253" s="6" t="s">
        <v>166</v>
      </c>
      <c r="L253" s="6" t="s">
        <v>239</v>
      </c>
      <c r="M253" s="6">
        <v>5</v>
      </c>
      <c r="N253" s="7">
        <v>6350</v>
      </c>
      <c r="O253" s="7">
        <f t="shared" si="19"/>
        <v>31750</v>
      </c>
      <c r="P253" s="6" t="s">
        <v>27</v>
      </c>
      <c r="Q253" s="6" t="s">
        <v>275</v>
      </c>
      <c r="R253" s="4">
        <v>44086</v>
      </c>
      <c r="S253" s="6" t="s">
        <v>29</v>
      </c>
      <c r="T253" s="6" t="s">
        <v>36</v>
      </c>
    </row>
    <row r="254" spans="1:20" x14ac:dyDescent="0.35">
      <c r="A254" s="4">
        <v>44055</v>
      </c>
      <c r="B254" s="5">
        <f t="shared" si="15"/>
        <v>2020</v>
      </c>
      <c r="C254" s="5">
        <f t="shared" si="16"/>
        <v>8</v>
      </c>
      <c r="D254" s="5">
        <f t="shared" si="17"/>
        <v>12</v>
      </c>
      <c r="E254" s="5" t="str">
        <f t="shared" si="18"/>
        <v>August</v>
      </c>
      <c r="F254" s="6" t="s">
        <v>371</v>
      </c>
      <c r="G254" s="6" t="s">
        <v>254</v>
      </c>
      <c r="H254" s="6" t="s">
        <v>44</v>
      </c>
      <c r="I254" s="6" t="s">
        <v>149</v>
      </c>
      <c r="J254" s="6" t="s">
        <v>150</v>
      </c>
      <c r="K254" s="6" t="s">
        <v>151</v>
      </c>
      <c r="L254" s="6" t="s">
        <v>155</v>
      </c>
      <c r="M254" s="6">
        <v>15</v>
      </c>
      <c r="N254" s="7">
        <v>9120</v>
      </c>
      <c r="O254" s="7">
        <f t="shared" si="19"/>
        <v>136800</v>
      </c>
      <c r="P254" s="6" t="s">
        <v>27</v>
      </c>
      <c r="Q254" s="6" t="s">
        <v>255</v>
      </c>
      <c r="R254" s="4">
        <v>44086</v>
      </c>
      <c r="S254" s="6" t="s">
        <v>29</v>
      </c>
      <c r="T254" s="6" t="s">
        <v>36</v>
      </c>
    </row>
    <row r="255" spans="1:20" x14ac:dyDescent="0.35">
      <c r="A255" s="4">
        <v>44055</v>
      </c>
      <c r="B255" s="5">
        <f t="shared" si="15"/>
        <v>2020</v>
      </c>
      <c r="C255" s="5">
        <f t="shared" si="16"/>
        <v>8</v>
      </c>
      <c r="D255" s="5">
        <f t="shared" si="17"/>
        <v>12</v>
      </c>
      <c r="E255" s="5" t="str">
        <f t="shared" si="18"/>
        <v>August</v>
      </c>
      <c r="F255" s="6" t="s">
        <v>372</v>
      </c>
      <c r="G255" s="6" t="s">
        <v>373</v>
      </c>
      <c r="H255" s="6" t="s">
        <v>44</v>
      </c>
      <c r="I255" s="6" t="s">
        <v>156</v>
      </c>
      <c r="J255" s="6" t="s">
        <v>150</v>
      </c>
      <c r="K255" s="6" t="s">
        <v>157</v>
      </c>
      <c r="L255" s="6" t="s">
        <v>337</v>
      </c>
      <c r="M255" s="6">
        <v>1</v>
      </c>
      <c r="N255" s="7">
        <v>7450</v>
      </c>
      <c r="O255" s="7">
        <f t="shared" si="19"/>
        <v>7450</v>
      </c>
      <c r="P255" s="6" t="s">
        <v>27</v>
      </c>
      <c r="Q255" s="6" t="s">
        <v>352</v>
      </c>
      <c r="R255" s="4">
        <v>44086</v>
      </c>
      <c r="S255" s="6" t="s">
        <v>29</v>
      </c>
      <c r="T255" s="6" t="s">
        <v>36</v>
      </c>
    </row>
    <row r="256" spans="1:20" x14ac:dyDescent="0.35">
      <c r="A256" s="4">
        <v>44055</v>
      </c>
      <c r="B256" s="5">
        <f t="shared" si="15"/>
        <v>2020</v>
      </c>
      <c r="C256" s="5">
        <f t="shared" si="16"/>
        <v>8</v>
      </c>
      <c r="D256" s="5">
        <f t="shared" si="17"/>
        <v>12</v>
      </c>
      <c r="E256" s="5" t="str">
        <f t="shared" si="18"/>
        <v>August</v>
      </c>
      <c r="F256" s="6" t="s">
        <v>372</v>
      </c>
      <c r="G256" s="6" t="s">
        <v>373</v>
      </c>
      <c r="H256" s="6" t="s">
        <v>340</v>
      </c>
      <c r="I256" s="6" t="s">
        <v>341</v>
      </c>
      <c r="J256" s="6" t="s">
        <v>150</v>
      </c>
      <c r="K256" s="6" t="s">
        <v>242</v>
      </c>
      <c r="L256" s="6" t="s">
        <v>342</v>
      </c>
      <c r="M256" s="6">
        <v>1</v>
      </c>
      <c r="N256" s="7">
        <v>1500</v>
      </c>
      <c r="O256" s="7">
        <f t="shared" si="19"/>
        <v>1500</v>
      </c>
      <c r="P256" s="6" t="s">
        <v>27</v>
      </c>
      <c r="Q256" s="6" t="s">
        <v>352</v>
      </c>
      <c r="R256" s="4">
        <v>44086</v>
      </c>
      <c r="S256" s="6" t="s">
        <v>29</v>
      </c>
      <c r="T256" s="6" t="s">
        <v>36</v>
      </c>
    </row>
    <row r="257" spans="1:20" x14ac:dyDescent="0.35">
      <c r="A257" s="4">
        <v>44024</v>
      </c>
      <c r="B257" s="5">
        <f t="shared" si="15"/>
        <v>2020</v>
      </c>
      <c r="C257" s="5">
        <f t="shared" si="16"/>
        <v>7</v>
      </c>
      <c r="D257" s="5">
        <f t="shared" si="17"/>
        <v>12</v>
      </c>
      <c r="E257" s="5" t="str">
        <f t="shared" si="18"/>
        <v>July</v>
      </c>
      <c r="F257" s="6" t="s">
        <v>374</v>
      </c>
      <c r="G257" s="6" t="s">
        <v>314</v>
      </c>
      <c r="H257" s="6" t="s">
        <v>39</v>
      </c>
      <c r="I257" s="6" t="s">
        <v>172</v>
      </c>
      <c r="J257" s="6" t="s">
        <v>150</v>
      </c>
      <c r="K257" s="6" t="s">
        <v>166</v>
      </c>
      <c r="L257" s="6" t="s">
        <v>302</v>
      </c>
      <c r="M257" s="6">
        <v>3</v>
      </c>
      <c r="N257" s="7">
        <v>8900</v>
      </c>
      <c r="O257" s="7">
        <f t="shared" si="19"/>
        <v>26700</v>
      </c>
      <c r="P257" s="6" t="s">
        <v>27</v>
      </c>
      <c r="Q257" s="6" t="s">
        <v>315</v>
      </c>
      <c r="R257" s="4">
        <v>44086</v>
      </c>
      <c r="S257" s="6" t="s">
        <v>29</v>
      </c>
      <c r="T257" s="6" t="s">
        <v>30</v>
      </c>
    </row>
    <row r="258" spans="1:20" x14ac:dyDescent="0.35">
      <c r="A258" s="4">
        <v>44024</v>
      </c>
      <c r="B258" s="5">
        <f t="shared" ref="B258:B321" si="20">YEAR(A258)</f>
        <v>2020</v>
      </c>
      <c r="C258" s="5">
        <f t="shared" ref="C258:C321" si="21">MONTH(A258)</f>
        <v>7</v>
      </c>
      <c r="D258" s="5">
        <f t="shared" ref="D258:D321" si="22">DAY(A258)</f>
        <v>12</v>
      </c>
      <c r="E258" s="5" t="str">
        <f t="shared" ref="E258:E321" si="23">TEXT(A258,"MMMM")</f>
        <v>July</v>
      </c>
      <c r="F258" s="6" t="s">
        <v>374</v>
      </c>
      <c r="G258" s="6" t="s">
        <v>314</v>
      </c>
      <c r="H258" s="6" t="s">
        <v>44</v>
      </c>
      <c r="I258" s="6" t="s">
        <v>156</v>
      </c>
      <c r="J258" s="6" t="s">
        <v>150</v>
      </c>
      <c r="K258" s="6" t="s">
        <v>157</v>
      </c>
      <c r="L258" s="6" t="s">
        <v>337</v>
      </c>
      <c r="M258" s="6">
        <v>2</v>
      </c>
      <c r="N258" s="7">
        <v>7450</v>
      </c>
      <c r="O258" s="7">
        <f t="shared" ref="O258:O321" si="24">M258*N258</f>
        <v>14900</v>
      </c>
      <c r="P258" s="6" t="s">
        <v>27</v>
      </c>
      <c r="Q258" s="6" t="s">
        <v>315</v>
      </c>
      <c r="R258" s="4">
        <v>44086</v>
      </c>
      <c r="S258" s="6" t="s">
        <v>29</v>
      </c>
      <c r="T258" s="6" t="s">
        <v>30</v>
      </c>
    </row>
    <row r="259" spans="1:20" x14ac:dyDescent="0.35">
      <c r="A259" s="4">
        <v>44055</v>
      </c>
      <c r="B259" s="5">
        <f t="shared" si="20"/>
        <v>2020</v>
      </c>
      <c r="C259" s="5">
        <f t="shared" si="21"/>
        <v>8</v>
      </c>
      <c r="D259" s="5">
        <f t="shared" si="22"/>
        <v>12</v>
      </c>
      <c r="E259" s="5" t="str">
        <f t="shared" si="23"/>
        <v>August</v>
      </c>
      <c r="F259" s="6" t="s">
        <v>375</v>
      </c>
      <c r="G259" s="6" t="s">
        <v>376</v>
      </c>
      <c r="H259" s="6" t="s">
        <v>44</v>
      </c>
      <c r="I259" s="6" t="s">
        <v>149</v>
      </c>
      <c r="J259" s="6" t="s">
        <v>150</v>
      </c>
      <c r="K259" s="6" t="s">
        <v>151</v>
      </c>
      <c r="L259" s="6" t="s">
        <v>190</v>
      </c>
      <c r="M259" s="6">
        <v>2</v>
      </c>
      <c r="N259" s="7">
        <v>10050</v>
      </c>
      <c r="O259" s="7">
        <f t="shared" si="24"/>
        <v>20100</v>
      </c>
      <c r="P259" s="6" t="s">
        <v>27</v>
      </c>
      <c r="Q259" s="6" t="s">
        <v>123</v>
      </c>
      <c r="R259" s="4">
        <v>44086</v>
      </c>
      <c r="S259" s="6" t="s">
        <v>29</v>
      </c>
      <c r="T259" s="6" t="s">
        <v>36</v>
      </c>
    </row>
    <row r="260" spans="1:20" x14ac:dyDescent="0.35">
      <c r="A260" s="4">
        <v>44055</v>
      </c>
      <c r="B260" s="5">
        <f t="shared" si="20"/>
        <v>2020</v>
      </c>
      <c r="C260" s="5">
        <f t="shared" si="21"/>
        <v>8</v>
      </c>
      <c r="D260" s="5">
        <f t="shared" si="22"/>
        <v>12</v>
      </c>
      <c r="E260" s="5" t="str">
        <f t="shared" si="23"/>
        <v>August</v>
      </c>
      <c r="F260" s="6" t="s">
        <v>375</v>
      </c>
      <c r="G260" s="6" t="s">
        <v>376</v>
      </c>
      <c r="H260" s="6" t="s">
        <v>44</v>
      </c>
      <c r="I260" s="6" t="s">
        <v>149</v>
      </c>
      <c r="J260" s="6" t="s">
        <v>150</v>
      </c>
      <c r="K260" s="6" t="s">
        <v>151</v>
      </c>
      <c r="L260" s="6" t="s">
        <v>155</v>
      </c>
      <c r="M260" s="6">
        <v>2</v>
      </c>
      <c r="N260" s="7">
        <v>9120</v>
      </c>
      <c r="O260" s="7">
        <f t="shared" si="24"/>
        <v>18240</v>
      </c>
      <c r="P260" s="6" t="s">
        <v>27</v>
      </c>
      <c r="Q260" s="6" t="s">
        <v>123</v>
      </c>
      <c r="R260" s="4">
        <v>44086</v>
      </c>
      <c r="S260" s="6" t="s">
        <v>29</v>
      </c>
      <c r="T260" s="6" t="s">
        <v>36</v>
      </c>
    </row>
    <row r="261" spans="1:20" x14ac:dyDescent="0.35">
      <c r="A261" s="4">
        <v>44055</v>
      </c>
      <c r="B261" s="5">
        <f t="shared" si="20"/>
        <v>2020</v>
      </c>
      <c r="C261" s="5">
        <f t="shared" si="21"/>
        <v>8</v>
      </c>
      <c r="D261" s="5">
        <f t="shared" si="22"/>
        <v>12</v>
      </c>
      <c r="E261" s="5" t="str">
        <f t="shared" si="23"/>
        <v>August</v>
      </c>
      <c r="F261" s="6" t="s">
        <v>375</v>
      </c>
      <c r="G261" s="6" t="s">
        <v>376</v>
      </c>
      <c r="H261" s="6" t="s">
        <v>191</v>
      </c>
      <c r="I261" s="6" t="s">
        <v>192</v>
      </c>
      <c r="J261" s="6" t="s">
        <v>150</v>
      </c>
      <c r="K261" s="6" t="s">
        <v>151</v>
      </c>
      <c r="L261" s="6" t="s">
        <v>193</v>
      </c>
      <c r="M261" s="6">
        <v>1</v>
      </c>
      <c r="N261" s="7">
        <v>9050</v>
      </c>
      <c r="O261" s="7">
        <f t="shared" si="24"/>
        <v>9050</v>
      </c>
      <c r="P261" s="6" t="s">
        <v>27</v>
      </c>
      <c r="Q261" s="6" t="s">
        <v>123</v>
      </c>
      <c r="R261" s="4">
        <v>44086</v>
      </c>
      <c r="S261" s="6" t="s">
        <v>29</v>
      </c>
      <c r="T261" s="6" t="s">
        <v>36</v>
      </c>
    </row>
    <row r="262" spans="1:20" x14ac:dyDescent="0.35">
      <c r="A262" s="4">
        <v>44055</v>
      </c>
      <c r="B262" s="5">
        <f t="shared" si="20"/>
        <v>2020</v>
      </c>
      <c r="C262" s="5">
        <f t="shared" si="21"/>
        <v>8</v>
      </c>
      <c r="D262" s="5">
        <f t="shared" si="22"/>
        <v>12</v>
      </c>
      <c r="E262" s="5" t="str">
        <f t="shared" si="23"/>
        <v>August</v>
      </c>
      <c r="F262" s="6" t="s">
        <v>377</v>
      </c>
      <c r="G262" s="6" t="s">
        <v>378</v>
      </c>
      <c r="H262" s="6" t="s">
        <v>340</v>
      </c>
      <c r="I262" s="6" t="s">
        <v>341</v>
      </c>
      <c r="J262" s="6" t="s">
        <v>150</v>
      </c>
      <c r="K262" s="6" t="s">
        <v>242</v>
      </c>
      <c r="L262" s="6" t="s">
        <v>342</v>
      </c>
      <c r="M262" s="6">
        <v>1</v>
      </c>
      <c r="N262" s="7">
        <v>1500</v>
      </c>
      <c r="O262" s="7">
        <f t="shared" si="24"/>
        <v>1500</v>
      </c>
      <c r="P262" s="6" t="s">
        <v>27</v>
      </c>
      <c r="Q262" s="6" t="s">
        <v>379</v>
      </c>
      <c r="R262" s="4">
        <v>44086</v>
      </c>
      <c r="S262" s="6" t="s">
        <v>29</v>
      </c>
      <c r="T262" s="6" t="s">
        <v>36</v>
      </c>
    </row>
    <row r="263" spans="1:20" x14ac:dyDescent="0.35">
      <c r="A263" s="4">
        <v>44055</v>
      </c>
      <c r="B263" s="5">
        <f t="shared" si="20"/>
        <v>2020</v>
      </c>
      <c r="C263" s="5">
        <f t="shared" si="21"/>
        <v>8</v>
      </c>
      <c r="D263" s="5">
        <f t="shared" si="22"/>
        <v>12</v>
      </c>
      <c r="E263" s="5" t="str">
        <f t="shared" si="23"/>
        <v>August</v>
      </c>
      <c r="F263" s="6" t="s">
        <v>377</v>
      </c>
      <c r="G263" s="6" t="s">
        <v>378</v>
      </c>
      <c r="H263" s="6" t="s">
        <v>340</v>
      </c>
      <c r="I263" s="6" t="s">
        <v>341</v>
      </c>
      <c r="J263" s="6" t="s">
        <v>150</v>
      </c>
      <c r="K263" s="6" t="s">
        <v>242</v>
      </c>
      <c r="L263" s="6" t="s">
        <v>344</v>
      </c>
      <c r="M263" s="6">
        <v>1</v>
      </c>
      <c r="N263" s="6">
        <v>1</v>
      </c>
      <c r="O263" s="7">
        <f t="shared" si="24"/>
        <v>1</v>
      </c>
      <c r="P263" s="6" t="s">
        <v>27</v>
      </c>
      <c r="Q263" s="6" t="s">
        <v>379</v>
      </c>
      <c r="R263" s="4">
        <v>44086</v>
      </c>
      <c r="S263" s="6" t="s">
        <v>29</v>
      </c>
      <c r="T263" s="6" t="s">
        <v>36</v>
      </c>
    </row>
    <row r="264" spans="1:20" x14ac:dyDescent="0.35">
      <c r="A264" s="4">
        <v>44024</v>
      </c>
      <c r="B264" s="5">
        <f t="shared" si="20"/>
        <v>2020</v>
      </c>
      <c r="C264" s="5">
        <f t="shared" si="21"/>
        <v>7</v>
      </c>
      <c r="D264" s="5">
        <f t="shared" si="22"/>
        <v>12</v>
      </c>
      <c r="E264" s="5" t="str">
        <f t="shared" si="23"/>
        <v>July</v>
      </c>
      <c r="F264" s="6" t="s">
        <v>380</v>
      </c>
      <c r="G264" s="6" t="s">
        <v>142</v>
      </c>
      <c r="H264" s="6" t="s">
        <v>200</v>
      </c>
      <c r="I264" s="6" t="s">
        <v>201</v>
      </c>
      <c r="J264" s="6" t="s">
        <v>150</v>
      </c>
      <c r="K264" s="6" t="s">
        <v>166</v>
      </c>
      <c r="L264" s="6" t="s">
        <v>206</v>
      </c>
      <c r="M264" s="6">
        <v>10</v>
      </c>
      <c r="N264" s="7">
        <v>6750</v>
      </c>
      <c r="O264" s="7">
        <f t="shared" si="24"/>
        <v>67500</v>
      </c>
      <c r="P264" s="6" t="s">
        <v>27</v>
      </c>
      <c r="Q264" s="6" t="s">
        <v>77</v>
      </c>
      <c r="R264" s="4">
        <v>44086</v>
      </c>
      <c r="S264" s="6" t="s">
        <v>85</v>
      </c>
      <c r="T264" s="6" t="s">
        <v>30</v>
      </c>
    </row>
    <row r="265" spans="1:20" x14ac:dyDescent="0.35">
      <c r="A265" s="4">
        <v>44055</v>
      </c>
      <c r="B265" s="5">
        <f t="shared" si="20"/>
        <v>2020</v>
      </c>
      <c r="C265" s="5">
        <f t="shared" si="21"/>
        <v>8</v>
      </c>
      <c r="D265" s="5">
        <f t="shared" si="22"/>
        <v>12</v>
      </c>
      <c r="E265" s="5" t="str">
        <f t="shared" si="23"/>
        <v>August</v>
      </c>
      <c r="F265" s="6" t="s">
        <v>381</v>
      </c>
      <c r="G265" s="6" t="s">
        <v>142</v>
      </c>
      <c r="H265" s="6" t="s">
        <v>382</v>
      </c>
      <c r="I265" s="6" t="s">
        <v>383</v>
      </c>
      <c r="J265" s="6" t="s">
        <v>150</v>
      </c>
      <c r="K265" s="6" t="s">
        <v>157</v>
      </c>
      <c r="L265" s="6" t="s">
        <v>384</v>
      </c>
      <c r="M265" s="6">
        <v>10</v>
      </c>
      <c r="N265" s="7">
        <v>1550</v>
      </c>
      <c r="O265" s="7">
        <f t="shared" si="24"/>
        <v>15500</v>
      </c>
      <c r="P265" s="6" t="s">
        <v>27</v>
      </c>
      <c r="Q265" s="6" t="s">
        <v>77</v>
      </c>
      <c r="R265" s="4">
        <v>44086</v>
      </c>
      <c r="S265" s="6" t="s">
        <v>85</v>
      </c>
      <c r="T265" s="6" t="s">
        <v>30</v>
      </c>
    </row>
    <row r="266" spans="1:20" x14ac:dyDescent="0.35">
      <c r="A266" s="4">
        <v>44055</v>
      </c>
      <c r="B266" s="5">
        <f t="shared" si="20"/>
        <v>2020</v>
      </c>
      <c r="C266" s="5">
        <f t="shared" si="21"/>
        <v>8</v>
      </c>
      <c r="D266" s="5">
        <f t="shared" si="22"/>
        <v>12</v>
      </c>
      <c r="E266" s="5" t="str">
        <f t="shared" si="23"/>
        <v>August</v>
      </c>
      <c r="F266" s="6" t="s">
        <v>381</v>
      </c>
      <c r="G266" s="6" t="s">
        <v>142</v>
      </c>
      <c r="H266" s="6" t="s">
        <v>164</v>
      </c>
      <c r="I266" s="6" t="s">
        <v>165</v>
      </c>
      <c r="J266" s="6" t="s">
        <v>150</v>
      </c>
      <c r="K266" s="6" t="s">
        <v>166</v>
      </c>
      <c r="L266" s="6" t="s">
        <v>167</v>
      </c>
      <c r="M266" s="6">
        <v>5</v>
      </c>
      <c r="N266" s="7">
        <v>7800</v>
      </c>
      <c r="O266" s="7">
        <f t="shared" si="24"/>
        <v>39000</v>
      </c>
      <c r="P266" s="6" t="s">
        <v>27</v>
      </c>
      <c r="Q266" s="6" t="s">
        <v>77</v>
      </c>
      <c r="R266" s="4">
        <v>44086</v>
      </c>
      <c r="S266" s="6" t="s">
        <v>85</v>
      </c>
      <c r="T266" s="6" t="s">
        <v>30</v>
      </c>
    </row>
    <row r="267" spans="1:20" x14ac:dyDescent="0.35">
      <c r="A267" s="4">
        <v>44055</v>
      </c>
      <c r="B267" s="5">
        <f t="shared" si="20"/>
        <v>2020</v>
      </c>
      <c r="C267" s="5">
        <f t="shared" si="21"/>
        <v>8</v>
      </c>
      <c r="D267" s="5">
        <f t="shared" si="22"/>
        <v>12</v>
      </c>
      <c r="E267" s="5" t="str">
        <f t="shared" si="23"/>
        <v>August</v>
      </c>
      <c r="F267" s="6" t="s">
        <v>385</v>
      </c>
      <c r="G267" s="6" t="s">
        <v>386</v>
      </c>
      <c r="H267" s="6" t="s">
        <v>39</v>
      </c>
      <c r="I267" s="6" t="s">
        <v>172</v>
      </c>
      <c r="J267" s="6" t="s">
        <v>150</v>
      </c>
      <c r="K267" s="6" t="s">
        <v>166</v>
      </c>
      <c r="L267" s="6" t="s">
        <v>302</v>
      </c>
      <c r="M267" s="6">
        <v>1</v>
      </c>
      <c r="N267" s="7">
        <v>8900</v>
      </c>
      <c r="O267" s="7">
        <f t="shared" si="24"/>
        <v>8900</v>
      </c>
      <c r="P267" s="6" t="s">
        <v>27</v>
      </c>
      <c r="Q267" s="6" t="s">
        <v>186</v>
      </c>
      <c r="R267" s="4">
        <v>44086</v>
      </c>
      <c r="S267" s="6" t="s">
        <v>29</v>
      </c>
      <c r="T267" s="6" t="s">
        <v>36</v>
      </c>
    </row>
    <row r="268" spans="1:20" x14ac:dyDescent="0.35">
      <c r="A268" s="4">
        <v>44055</v>
      </c>
      <c r="B268" s="5">
        <f t="shared" si="20"/>
        <v>2020</v>
      </c>
      <c r="C268" s="5">
        <f t="shared" si="21"/>
        <v>8</v>
      </c>
      <c r="D268" s="5">
        <f t="shared" si="22"/>
        <v>12</v>
      </c>
      <c r="E268" s="5" t="str">
        <f t="shared" si="23"/>
        <v>August</v>
      </c>
      <c r="F268" s="6" t="s">
        <v>385</v>
      </c>
      <c r="G268" s="6" t="s">
        <v>386</v>
      </c>
      <c r="H268" s="6" t="s">
        <v>44</v>
      </c>
      <c r="I268" s="6" t="s">
        <v>156</v>
      </c>
      <c r="J268" s="6" t="s">
        <v>150</v>
      </c>
      <c r="K268" s="6" t="s">
        <v>157</v>
      </c>
      <c r="L268" s="6" t="s">
        <v>337</v>
      </c>
      <c r="M268" s="6">
        <v>2</v>
      </c>
      <c r="N268" s="7">
        <v>7450</v>
      </c>
      <c r="O268" s="7">
        <f t="shared" si="24"/>
        <v>14900</v>
      </c>
      <c r="P268" s="6" t="s">
        <v>27</v>
      </c>
      <c r="Q268" s="6" t="s">
        <v>186</v>
      </c>
      <c r="R268" s="4">
        <v>44086</v>
      </c>
      <c r="S268" s="6" t="s">
        <v>29</v>
      </c>
      <c r="T268" s="6" t="s">
        <v>36</v>
      </c>
    </row>
    <row r="269" spans="1:20" x14ac:dyDescent="0.35">
      <c r="A269" s="4">
        <v>44055</v>
      </c>
      <c r="B269" s="5">
        <f t="shared" si="20"/>
        <v>2020</v>
      </c>
      <c r="C269" s="5">
        <f t="shared" si="21"/>
        <v>8</v>
      </c>
      <c r="D269" s="5">
        <f t="shared" si="22"/>
        <v>12</v>
      </c>
      <c r="E269" s="5" t="str">
        <f t="shared" si="23"/>
        <v>August</v>
      </c>
      <c r="F269" s="6" t="s">
        <v>385</v>
      </c>
      <c r="G269" s="6" t="s">
        <v>386</v>
      </c>
      <c r="H269" s="6" t="s">
        <v>44</v>
      </c>
      <c r="I269" s="6" t="s">
        <v>149</v>
      </c>
      <c r="J269" s="6" t="s">
        <v>150</v>
      </c>
      <c r="K269" s="6" t="s">
        <v>151</v>
      </c>
      <c r="L269" s="6" t="s">
        <v>152</v>
      </c>
      <c r="M269" s="6">
        <v>3</v>
      </c>
      <c r="N269" s="7">
        <v>11200</v>
      </c>
      <c r="O269" s="7">
        <f t="shared" si="24"/>
        <v>33600</v>
      </c>
      <c r="P269" s="6" t="s">
        <v>27</v>
      </c>
      <c r="Q269" s="6" t="s">
        <v>186</v>
      </c>
      <c r="R269" s="4">
        <v>44086</v>
      </c>
      <c r="S269" s="6" t="s">
        <v>29</v>
      </c>
      <c r="T269" s="6" t="s">
        <v>36</v>
      </c>
    </row>
    <row r="270" spans="1:20" x14ac:dyDescent="0.35">
      <c r="A270" s="4">
        <v>44055</v>
      </c>
      <c r="B270" s="5">
        <f t="shared" si="20"/>
        <v>2020</v>
      </c>
      <c r="C270" s="5">
        <f t="shared" si="21"/>
        <v>8</v>
      </c>
      <c r="D270" s="5">
        <f t="shared" si="22"/>
        <v>12</v>
      </c>
      <c r="E270" s="5" t="str">
        <f t="shared" si="23"/>
        <v>August</v>
      </c>
      <c r="F270" s="6" t="s">
        <v>387</v>
      </c>
      <c r="G270" s="6" t="s">
        <v>388</v>
      </c>
      <c r="H270" s="6" t="s">
        <v>364</v>
      </c>
      <c r="I270" s="6" t="s">
        <v>365</v>
      </c>
      <c r="J270" s="6" t="s">
        <v>150</v>
      </c>
      <c r="K270" s="6" t="s">
        <v>366</v>
      </c>
      <c r="L270" s="6" t="s">
        <v>367</v>
      </c>
      <c r="M270" s="6">
        <v>3</v>
      </c>
      <c r="N270" s="7">
        <v>4200</v>
      </c>
      <c r="O270" s="7">
        <f t="shared" si="24"/>
        <v>12600</v>
      </c>
      <c r="P270" s="6" t="s">
        <v>27</v>
      </c>
      <c r="Q270" s="6" t="s">
        <v>73</v>
      </c>
      <c r="R270" s="4">
        <v>44116</v>
      </c>
      <c r="S270" s="6" t="s">
        <v>29</v>
      </c>
      <c r="T270" s="6" t="s">
        <v>36</v>
      </c>
    </row>
    <row r="271" spans="1:20" x14ac:dyDescent="0.35">
      <c r="A271" s="4">
        <v>44086</v>
      </c>
      <c r="B271" s="5">
        <f t="shared" si="20"/>
        <v>2020</v>
      </c>
      <c r="C271" s="5">
        <f t="shared" si="21"/>
        <v>9</v>
      </c>
      <c r="D271" s="5">
        <f t="shared" si="22"/>
        <v>12</v>
      </c>
      <c r="E271" s="5" t="str">
        <f t="shared" si="23"/>
        <v>September</v>
      </c>
      <c r="F271" s="6" t="s">
        <v>389</v>
      </c>
      <c r="G271" s="6" t="s">
        <v>205</v>
      </c>
      <c r="H271" s="6" t="s">
        <v>39</v>
      </c>
      <c r="I271" s="6" t="s">
        <v>172</v>
      </c>
      <c r="J271" s="6" t="s">
        <v>150</v>
      </c>
      <c r="K271" s="6" t="s">
        <v>166</v>
      </c>
      <c r="L271" s="6" t="s">
        <v>203</v>
      </c>
      <c r="M271" s="6">
        <v>2</v>
      </c>
      <c r="N271" s="7">
        <v>3750</v>
      </c>
      <c r="O271" s="7">
        <f t="shared" si="24"/>
        <v>7500</v>
      </c>
      <c r="P271" s="6" t="s">
        <v>27</v>
      </c>
      <c r="Q271" s="6" t="s">
        <v>275</v>
      </c>
      <c r="R271" s="4">
        <v>44116</v>
      </c>
      <c r="S271" s="6" t="s">
        <v>29</v>
      </c>
      <c r="T271" s="6" t="s">
        <v>36</v>
      </c>
    </row>
    <row r="272" spans="1:20" x14ac:dyDescent="0.35">
      <c r="A272" s="4">
        <v>44086</v>
      </c>
      <c r="B272" s="5">
        <f t="shared" si="20"/>
        <v>2020</v>
      </c>
      <c r="C272" s="5">
        <f t="shared" si="21"/>
        <v>9</v>
      </c>
      <c r="D272" s="5">
        <f t="shared" si="22"/>
        <v>12</v>
      </c>
      <c r="E272" s="5" t="str">
        <f t="shared" si="23"/>
        <v>September</v>
      </c>
      <c r="F272" s="6" t="s">
        <v>390</v>
      </c>
      <c r="G272" s="6" t="s">
        <v>72</v>
      </c>
      <c r="H272" s="6" t="s">
        <v>200</v>
      </c>
      <c r="I272" s="6" t="s">
        <v>286</v>
      </c>
      <c r="J272" s="6" t="s">
        <v>150</v>
      </c>
      <c r="K272" s="6" t="s">
        <v>166</v>
      </c>
      <c r="L272" s="6" t="s">
        <v>287</v>
      </c>
      <c r="M272" s="6">
        <v>1</v>
      </c>
      <c r="N272" s="7">
        <v>23680</v>
      </c>
      <c r="O272" s="7">
        <f t="shared" si="24"/>
        <v>23680</v>
      </c>
      <c r="P272" s="6" t="s">
        <v>27</v>
      </c>
      <c r="Q272" s="6" t="s">
        <v>391</v>
      </c>
      <c r="R272" s="4">
        <v>44116</v>
      </c>
      <c r="S272" s="6" t="s">
        <v>29</v>
      </c>
      <c r="T272" s="6" t="s">
        <v>36</v>
      </c>
    </row>
    <row r="273" spans="1:20" x14ac:dyDescent="0.35">
      <c r="A273" s="4">
        <v>44086</v>
      </c>
      <c r="B273" s="5">
        <f t="shared" si="20"/>
        <v>2020</v>
      </c>
      <c r="C273" s="5">
        <f t="shared" si="21"/>
        <v>9</v>
      </c>
      <c r="D273" s="5">
        <f t="shared" si="22"/>
        <v>12</v>
      </c>
      <c r="E273" s="5" t="str">
        <f t="shared" si="23"/>
        <v>September</v>
      </c>
      <c r="F273" s="6" t="s">
        <v>390</v>
      </c>
      <c r="G273" s="6" t="s">
        <v>72</v>
      </c>
      <c r="H273" s="6" t="s">
        <v>364</v>
      </c>
      <c r="I273" s="6" t="s">
        <v>365</v>
      </c>
      <c r="J273" s="6" t="s">
        <v>150</v>
      </c>
      <c r="K273" s="6" t="s">
        <v>366</v>
      </c>
      <c r="L273" s="6" t="s">
        <v>367</v>
      </c>
      <c r="M273" s="6">
        <v>2</v>
      </c>
      <c r="N273" s="7">
        <v>4200</v>
      </c>
      <c r="O273" s="7">
        <f t="shared" si="24"/>
        <v>8400</v>
      </c>
      <c r="P273" s="6" t="s">
        <v>27</v>
      </c>
      <c r="Q273" s="6" t="s">
        <v>391</v>
      </c>
      <c r="R273" s="4">
        <v>44116</v>
      </c>
      <c r="S273" s="6" t="s">
        <v>29</v>
      </c>
      <c r="T273" s="6" t="s">
        <v>36</v>
      </c>
    </row>
    <row r="274" spans="1:20" x14ac:dyDescent="0.35">
      <c r="A274" s="4">
        <v>44086</v>
      </c>
      <c r="B274" s="5">
        <f t="shared" si="20"/>
        <v>2020</v>
      </c>
      <c r="C274" s="5">
        <f t="shared" si="21"/>
        <v>9</v>
      </c>
      <c r="D274" s="5">
        <f t="shared" si="22"/>
        <v>12</v>
      </c>
      <c r="E274" s="5" t="str">
        <f t="shared" si="23"/>
        <v>September</v>
      </c>
      <c r="F274" s="6" t="s">
        <v>392</v>
      </c>
      <c r="G274" s="6" t="s">
        <v>393</v>
      </c>
      <c r="H274" s="6" t="s">
        <v>340</v>
      </c>
      <c r="I274" s="6" t="s">
        <v>341</v>
      </c>
      <c r="J274" s="6" t="s">
        <v>150</v>
      </c>
      <c r="K274" s="6" t="s">
        <v>242</v>
      </c>
      <c r="L274" s="6" t="s">
        <v>342</v>
      </c>
      <c r="M274" s="6">
        <v>1</v>
      </c>
      <c r="N274" s="7">
        <v>1500</v>
      </c>
      <c r="O274" s="7">
        <f t="shared" si="24"/>
        <v>1500</v>
      </c>
      <c r="P274" s="6" t="s">
        <v>27</v>
      </c>
      <c r="Q274" s="6" t="s">
        <v>110</v>
      </c>
      <c r="R274" s="4">
        <v>44116</v>
      </c>
      <c r="S274" s="6" t="s">
        <v>29</v>
      </c>
      <c r="T274" s="6" t="s">
        <v>36</v>
      </c>
    </row>
    <row r="275" spans="1:20" x14ac:dyDescent="0.35">
      <c r="A275" s="4">
        <v>44086</v>
      </c>
      <c r="B275" s="5">
        <f t="shared" si="20"/>
        <v>2020</v>
      </c>
      <c r="C275" s="5">
        <f t="shared" si="21"/>
        <v>9</v>
      </c>
      <c r="D275" s="5">
        <f t="shared" si="22"/>
        <v>12</v>
      </c>
      <c r="E275" s="5" t="str">
        <f t="shared" si="23"/>
        <v>September</v>
      </c>
      <c r="F275" s="6" t="s">
        <v>392</v>
      </c>
      <c r="G275" s="6" t="s">
        <v>393</v>
      </c>
      <c r="H275" s="6" t="s">
        <v>340</v>
      </c>
      <c r="I275" s="6" t="s">
        <v>341</v>
      </c>
      <c r="J275" s="6" t="s">
        <v>150</v>
      </c>
      <c r="K275" s="6" t="s">
        <v>242</v>
      </c>
      <c r="L275" s="6" t="s">
        <v>344</v>
      </c>
      <c r="M275" s="6">
        <v>1</v>
      </c>
      <c r="N275" s="6">
        <v>1</v>
      </c>
      <c r="O275" s="7">
        <f t="shared" si="24"/>
        <v>1</v>
      </c>
      <c r="P275" s="6" t="s">
        <v>27</v>
      </c>
      <c r="Q275" s="6" t="s">
        <v>110</v>
      </c>
      <c r="R275" s="4">
        <v>44116</v>
      </c>
      <c r="S275" s="6" t="s">
        <v>29</v>
      </c>
      <c r="T275" s="6" t="s">
        <v>36</v>
      </c>
    </row>
    <row r="276" spans="1:20" x14ac:dyDescent="0.35">
      <c r="A276" s="4">
        <v>44086</v>
      </c>
      <c r="B276" s="5">
        <f t="shared" si="20"/>
        <v>2020</v>
      </c>
      <c r="C276" s="5">
        <f t="shared" si="21"/>
        <v>9</v>
      </c>
      <c r="D276" s="5">
        <f t="shared" si="22"/>
        <v>12</v>
      </c>
      <c r="E276" s="5" t="str">
        <f t="shared" si="23"/>
        <v>September</v>
      </c>
      <c r="F276" s="6" t="s">
        <v>394</v>
      </c>
      <c r="G276" s="6" t="s">
        <v>395</v>
      </c>
      <c r="H276" s="6" t="s">
        <v>200</v>
      </c>
      <c r="I276" s="6" t="s">
        <v>201</v>
      </c>
      <c r="J276" s="6" t="s">
        <v>150</v>
      </c>
      <c r="K276" s="6" t="s">
        <v>166</v>
      </c>
      <c r="L276" s="6" t="s">
        <v>213</v>
      </c>
      <c r="M276" s="6">
        <v>1</v>
      </c>
      <c r="N276" s="7">
        <v>8500</v>
      </c>
      <c r="O276" s="7">
        <f t="shared" si="24"/>
        <v>8500</v>
      </c>
      <c r="P276" s="6" t="s">
        <v>27</v>
      </c>
      <c r="Q276" s="6" t="s">
        <v>396</v>
      </c>
      <c r="R276" s="4">
        <v>44116</v>
      </c>
      <c r="S276" s="6" t="s">
        <v>29</v>
      </c>
      <c r="T276" s="6" t="s">
        <v>36</v>
      </c>
    </row>
    <row r="277" spans="1:20" x14ac:dyDescent="0.35">
      <c r="A277" s="4">
        <v>44086</v>
      </c>
      <c r="B277" s="5">
        <f t="shared" si="20"/>
        <v>2020</v>
      </c>
      <c r="C277" s="5">
        <f t="shared" si="21"/>
        <v>9</v>
      </c>
      <c r="D277" s="5">
        <f t="shared" si="22"/>
        <v>12</v>
      </c>
      <c r="E277" s="5" t="str">
        <f t="shared" si="23"/>
        <v>September</v>
      </c>
      <c r="F277" s="6" t="s">
        <v>394</v>
      </c>
      <c r="G277" s="6" t="s">
        <v>395</v>
      </c>
      <c r="H277" s="6" t="s">
        <v>44</v>
      </c>
      <c r="I277" s="6" t="s">
        <v>149</v>
      </c>
      <c r="J277" s="6" t="s">
        <v>150</v>
      </c>
      <c r="K277" s="6" t="s">
        <v>151</v>
      </c>
      <c r="L277" s="6" t="s">
        <v>152</v>
      </c>
      <c r="M277" s="6">
        <v>1</v>
      </c>
      <c r="N277" s="7">
        <v>11200</v>
      </c>
      <c r="O277" s="7">
        <f t="shared" si="24"/>
        <v>11200</v>
      </c>
      <c r="P277" s="6" t="s">
        <v>27</v>
      </c>
      <c r="Q277" s="6" t="s">
        <v>396</v>
      </c>
      <c r="R277" s="4">
        <v>44116</v>
      </c>
      <c r="S277" s="6" t="s">
        <v>29</v>
      </c>
      <c r="T277" s="6" t="s">
        <v>36</v>
      </c>
    </row>
    <row r="278" spans="1:20" x14ac:dyDescent="0.35">
      <c r="A278" s="4">
        <v>44086</v>
      </c>
      <c r="B278" s="5">
        <f t="shared" si="20"/>
        <v>2020</v>
      </c>
      <c r="C278" s="5">
        <f t="shared" si="21"/>
        <v>9</v>
      </c>
      <c r="D278" s="5">
        <f t="shared" si="22"/>
        <v>12</v>
      </c>
      <c r="E278" s="5" t="str">
        <f t="shared" si="23"/>
        <v>September</v>
      </c>
      <c r="F278" s="6" t="s">
        <v>394</v>
      </c>
      <c r="G278" s="6" t="s">
        <v>395</v>
      </c>
      <c r="H278" s="6" t="s">
        <v>176</v>
      </c>
      <c r="I278" s="6" t="s">
        <v>177</v>
      </c>
      <c r="J278" s="6" t="s">
        <v>150</v>
      </c>
      <c r="K278" s="6" t="s">
        <v>157</v>
      </c>
      <c r="L278" s="6" t="s">
        <v>178</v>
      </c>
      <c r="M278" s="6">
        <v>1</v>
      </c>
      <c r="N278" s="7">
        <v>2000</v>
      </c>
      <c r="O278" s="7">
        <f t="shared" si="24"/>
        <v>2000</v>
      </c>
      <c r="P278" s="6" t="s">
        <v>27</v>
      </c>
      <c r="Q278" s="6" t="s">
        <v>396</v>
      </c>
      <c r="R278" s="4">
        <v>44116</v>
      </c>
      <c r="S278" s="6" t="s">
        <v>29</v>
      </c>
      <c r="T278" s="6" t="s">
        <v>36</v>
      </c>
    </row>
    <row r="279" spans="1:20" x14ac:dyDescent="0.35">
      <c r="A279" s="4">
        <v>44086</v>
      </c>
      <c r="B279" s="5">
        <f t="shared" si="20"/>
        <v>2020</v>
      </c>
      <c r="C279" s="5">
        <f t="shared" si="21"/>
        <v>9</v>
      </c>
      <c r="D279" s="5">
        <f t="shared" si="22"/>
        <v>12</v>
      </c>
      <c r="E279" s="5" t="str">
        <f t="shared" si="23"/>
        <v>September</v>
      </c>
      <c r="F279" s="6" t="s">
        <v>397</v>
      </c>
      <c r="G279" s="6" t="s">
        <v>398</v>
      </c>
      <c r="H279" s="6" t="s">
        <v>44</v>
      </c>
      <c r="I279" s="6" t="s">
        <v>149</v>
      </c>
      <c r="J279" s="6" t="s">
        <v>150</v>
      </c>
      <c r="K279" s="6" t="s">
        <v>151</v>
      </c>
      <c r="L279" s="6" t="s">
        <v>155</v>
      </c>
      <c r="M279" s="6">
        <v>3</v>
      </c>
      <c r="N279" s="7">
        <v>9120</v>
      </c>
      <c r="O279" s="7">
        <f t="shared" si="24"/>
        <v>27360</v>
      </c>
      <c r="P279" s="6" t="s">
        <v>27</v>
      </c>
      <c r="Q279" s="6" t="s">
        <v>28</v>
      </c>
      <c r="R279" s="4">
        <v>44116</v>
      </c>
      <c r="S279" s="6" t="s">
        <v>85</v>
      </c>
      <c r="T279" s="6" t="s">
        <v>36</v>
      </c>
    </row>
    <row r="280" spans="1:20" x14ac:dyDescent="0.35">
      <c r="A280" s="4">
        <v>44086</v>
      </c>
      <c r="B280" s="5">
        <f t="shared" si="20"/>
        <v>2020</v>
      </c>
      <c r="C280" s="5">
        <f t="shared" si="21"/>
        <v>9</v>
      </c>
      <c r="D280" s="5">
        <f t="shared" si="22"/>
        <v>12</v>
      </c>
      <c r="E280" s="5" t="str">
        <f t="shared" si="23"/>
        <v>September</v>
      </c>
      <c r="F280" s="6" t="s">
        <v>399</v>
      </c>
      <c r="G280" s="6" t="s">
        <v>400</v>
      </c>
      <c r="H280" s="6" t="s">
        <v>44</v>
      </c>
      <c r="I280" s="6" t="s">
        <v>149</v>
      </c>
      <c r="J280" s="6" t="s">
        <v>150</v>
      </c>
      <c r="K280" s="6" t="s">
        <v>151</v>
      </c>
      <c r="L280" s="6" t="s">
        <v>155</v>
      </c>
      <c r="M280" s="6">
        <v>3</v>
      </c>
      <c r="N280" s="7">
        <v>9120</v>
      </c>
      <c r="O280" s="7">
        <f t="shared" si="24"/>
        <v>27360</v>
      </c>
      <c r="P280" s="6" t="s">
        <v>27</v>
      </c>
      <c r="Q280" s="6" t="s">
        <v>255</v>
      </c>
      <c r="R280" s="4">
        <v>44116</v>
      </c>
      <c r="S280" s="6" t="s">
        <v>29</v>
      </c>
      <c r="T280" s="6" t="s">
        <v>36</v>
      </c>
    </row>
    <row r="281" spans="1:20" x14ac:dyDescent="0.35">
      <c r="A281" s="4">
        <v>44086</v>
      </c>
      <c r="B281" s="5">
        <f t="shared" si="20"/>
        <v>2020</v>
      </c>
      <c r="C281" s="5">
        <f t="shared" si="21"/>
        <v>9</v>
      </c>
      <c r="D281" s="5">
        <f t="shared" si="22"/>
        <v>12</v>
      </c>
      <c r="E281" s="5" t="str">
        <f t="shared" si="23"/>
        <v>September</v>
      </c>
      <c r="F281" s="6" t="s">
        <v>399</v>
      </c>
      <c r="G281" s="6" t="s">
        <v>400</v>
      </c>
      <c r="H281" s="6" t="s">
        <v>176</v>
      </c>
      <c r="I281" s="6" t="s">
        <v>177</v>
      </c>
      <c r="J281" s="6" t="s">
        <v>150</v>
      </c>
      <c r="K281" s="6" t="s">
        <v>157</v>
      </c>
      <c r="L281" s="6" t="s">
        <v>178</v>
      </c>
      <c r="M281" s="6">
        <v>2</v>
      </c>
      <c r="N281" s="7">
        <v>2000</v>
      </c>
      <c r="O281" s="7">
        <f t="shared" si="24"/>
        <v>4000</v>
      </c>
      <c r="P281" s="6" t="s">
        <v>27</v>
      </c>
      <c r="Q281" s="6" t="s">
        <v>255</v>
      </c>
      <c r="R281" s="4">
        <v>44116</v>
      </c>
      <c r="S281" s="6" t="s">
        <v>29</v>
      </c>
      <c r="T281" s="6" t="s">
        <v>36</v>
      </c>
    </row>
    <row r="282" spans="1:20" x14ac:dyDescent="0.35">
      <c r="A282" s="4">
        <v>44086</v>
      </c>
      <c r="B282" s="5">
        <f t="shared" si="20"/>
        <v>2020</v>
      </c>
      <c r="C282" s="5">
        <f t="shared" si="21"/>
        <v>9</v>
      </c>
      <c r="D282" s="5">
        <f t="shared" si="22"/>
        <v>12</v>
      </c>
      <c r="E282" s="5" t="str">
        <f t="shared" si="23"/>
        <v>September</v>
      </c>
      <c r="F282" s="6" t="s">
        <v>86</v>
      </c>
      <c r="G282" s="6" t="s">
        <v>79</v>
      </c>
      <c r="H282" s="6" t="s">
        <v>44</v>
      </c>
      <c r="I282" s="6" t="s">
        <v>149</v>
      </c>
      <c r="J282" s="6" t="s">
        <v>150</v>
      </c>
      <c r="K282" s="6" t="s">
        <v>151</v>
      </c>
      <c r="L282" s="6" t="s">
        <v>155</v>
      </c>
      <c r="M282" s="6">
        <v>4</v>
      </c>
      <c r="N282" s="7">
        <v>9120</v>
      </c>
      <c r="O282" s="7">
        <f t="shared" si="24"/>
        <v>36480</v>
      </c>
      <c r="P282" s="6" t="s">
        <v>27</v>
      </c>
      <c r="Q282" s="6" t="s">
        <v>87</v>
      </c>
      <c r="R282" s="4">
        <v>44116</v>
      </c>
      <c r="S282" s="6" t="s">
        <v>29</v>
      </c>
      <c r="T282" s="6" t="s">
        <v>36</v>
      </c>
    </row>
    <row r="283" spans="1:20" x14ac:dyDescent="0.35">
      <c r="A283" s="4">
        <v>44086</v>
      </c>
      <c r="B283" s="5">
        <f t="shared" si="20"/>
        <v>2020</v>
      </c>
      <c r="C283" s="5">
        <f t="shared" si="21"/>
        <v>9</v>
      </c>
      <c r="D283" s="5">
        <f t="shared" si="22"/>
        <v>12</v>
      </c>
      <c r="E283" s="5" t="str">
        <f t="shared" si="23"/>
        <v>September</v>
      </c>
      <c r="F283" s="6" t="s">
        <v>86</v>
      </c>
      <c r="G283" s="6" t="s">
        <v>79</v>
      </c>
      <c r="H283" s="6" t="s">
        <v>44</v>
      </c>
      <c r="I283" s="6" t="s">
        <v>149</v>
      </c>
      <c r="J283" s="6" t="s">
        <v>150</v>
      </c>
      <c r="K283" s="6" t="s">
        <v>151</v>
      </c>
      <c r="L283" s="6" t="s">
        <v>190</v>
      </c>
      <c r="M283" s="6">
        <v>1</v>
      </c>
      <c r="N283" s="7">
        <v>10050</v>
      </c>
      <c r="O283" s="7">
        <f t="shared" si="24"/>
        <v>10050</v>
      </c>
      <c r="P283" s="6" t="s">
        <v>27</v>
      </c>
      <c r="Q283" s="6" t="s">
        <v>87</v>
      </c>
      <c r="R283" s="4">
        <v>44116</v>
      </c>
      <c r="S283" s="6" t="s">
        <v>29</v>
      </c>
      <c r="T283" s="6" t="s">
        <v>36</v>
      </c>
    </row>
    <row r="284" spans="1:20" x14ac:dyDescent="0.35">
      <c r="A284" s="4">
        <v>44086</v>
      </c>
      <c r="B284" s="5">
        <f t="shared" si="20"/>
        <v>2020</v>
      </c>
      <c r="C284" s="5">
        <f t="shared" si="21"/>
        <v>9</v>
      </c>
      <c r="D284" s="5">
        <f t="shared" si="22"/>
        <v>12</v>
      </c>
      <c r="E284" s="5" t="str">
        <f t="shared" si="23"/>
        <v>September</v>
      </c>
      <c r="F284" s="6" t="s">
        <v>401</v>
      </c>
      <c r="G284" s="6" t="s">
        <v>402</v>
      </c>
      <c r="H284" s="6" t="s">
        <v>340</v>
      </c>
      <c r="I284" s="6" t="s">
        <v>341</v>
      </c>
      <c r="J284" s="6" t="s">
        <v>150</v>
      </c>
      <c r="K284" s="6" t="s">
        <v>242</v>
      </c>
      <c r="L284" s="6" t="s">
        <v>342</v>
      </c>
      <c r="M284" s="6">
        <v>1</v>
      </c>
      <c r="N284" s="7">
        <v>1500</v>
      </c>
      <c r="O284" s="7">
        <f t="shared" si="24"/>
        <v>1500</v>
      </c>
      <c r="P284" s="6" t="s">
        <v>27</v>
      </c>
      <c r="Q284" s="6" t="s">
        <v>396</v>
      </c>
      <c r="R284" s="4">
        <v>44116</v>
      </c>
      <c r="S284" s="6" t="s">
        <v>29</v>
      </c>
      <c r="T284" s="6" t="s">
        <v>36</v>
      </c>
    </row>
    <row r="285" spans="1:20" x14ac:dyDescent="0.35">
      <c r="A285" s="4">
        <v>44086</v>
      </c>
      <c r="B285" s="5">
        <f t="shared" si="20"/>
        <v>2020</v>
      </c>
      <c r="C285" s="5">
        <f t="shared" si="21"/>
        <v>9</v>
      </c>
      <c r="D285" s="5">
        <f t="shared" si="22"/>
        <v>12</v>
      </c>
      <c r="E285" s="5" t="str">
        <f t="shared" si="23"/>
        <v>September</v>
      </c>
      <c r="F285" s="6" t="s">
        <v>401</v>
      </c>
      <c r="G285" s="6" t="s">
        <v>402</v>
      </c>
      <c r="H285" s="6" t="s">
        <v>340</v>
      </c>
      <c r="I285" s="6" t="s">
        <v>341</v>
      </c>
      <c r="J285" s="6" t="s">
        <v>150</v>
      </c>
      <c r="K285" s="6" t="s">
        <v>242</v>
      </c>
      <c r="L285" s="6" t="s">
        <v>344</v>
      </c>
      <c r="M285" s="6">
        <v>1</v>
      </c>
      <c r="N285" s="6">
        <v>1</v>
      </c>
      <c r="O285" s="7">
        <f t="shared" si="24"/>
        <v>1</v>
      </c>
      <c r="P285" s="6" t="s">
        <v>27</v>
      </c>
      <c r="Q285" s="6" t="s">
        <v>396</v>
      </c>
      <c r="R285" s="4">
        <v>44116</v>
      </c>
      <c r="S285" s="6" t="s">
        <v>29</v>
      </c>
      <c r="T285" s="6" t="s">
        <v>36</v>
      </c>
    </row>
    <row r="286" spans="1:20" x14ac:dyDescent="0.35">
      <c r="A286" s="4">
        <v>44086</v>
      </c>
      <c r="B286" s="5">
        <f t="shared" si="20"/>
        <v>2020</v>
      </c>
      <c r="C286" s="5">
        <f t="shared" si="21"/>
        <v>9</v>
      </c>
      <c r="D286" s="5">
        <f t="shared" si="22"/>
        <v>12</v>
      </c>
      <c r="E286" s="5" t="str">
        <f t="shared" si="23"/>
        <v>September</v>
      </c>
      <c r="F286" s="6" t="s">
        <v>403</v>
      </c>
      <c r="G286" s="6" t="s">
        <v>404</v>
      </c>
      <c r="H286" s="6" t="s">
        <v>200</v>
      </c>
      <c r="I286" s="6" t="s">
        <v>201</v>
      </c>
      <c r="J286" s="6" t="s">
        <v>150</v>
      </c>
      <c r="K286" s="6" t="s">
        <v>166</v>
      </c>
      <c r="L286" s="6" t="s">
        <v>213</v>
      </c>
      <c r="M286" s="6">
        <v>4</v>
      </c>
      <c r="N286" s="7">
        <v>8500</v>
      </c>
      <c r="O286" s="7">
        <f t="shared" si="24"/>
        <v>34000</v>
      </c>
      <c r="P286" s="6" t="s">
        <v>27</v>
      </c>
      <c r="Q286" s="6" t="s">
        <v>87</v>
      </c>
      <c r="R286" s="4">
        <v>44116</v>
      </c>
      <c r="S286" s="6" t="s">
        <v>29</v>
      </c>
      <c r="T286" s="6" t="s">
        <v>36</v>
      </c>
    </row>
    <row r="287" spans="1:20" x14ac:dyDescent="0.35">
      <c r="A287" s="4">
        <v>44086</v>
      </c>
      <c r="B287" s="5">
        <f t="shared" si="20"/>
        <v>2020</v>
      </c>
      <c r="C287" s="5">
        <f t="shared" si="21"/>
        <v>9</v>
      </c>
      <c r="D287" s="5">
        <f t="shared" si="22"/>
        <v>12</v>
      </c>
      <c r="E287" s="5" t="str">
        <f t="shared" si="23"/>
        <v>September</v>
      </c>
      <c r="F287" s="6" t="s">
        <v>403</v>
      </c>
      <c r="G287" s="6" t="s">
        <v>404</v>
      </c>
      <c r="H287" s="6" t="s">
        <v>200</v>
      </c>
      <c r="I287" s="6" t="s">
        <v>286</v>
      </c>
      <c r="J287" s="6" t="s">
        <v>150</v>
      </c>
      <c r="K287" s="6" t="s">
        <v>166</v>
      </c>
      <c r="L287" s="6" t="s">
        <v>297</v>
      </c>
      <c r="M287" s="6">
        <v>1</v>
      </c>
      <c r="N287" s="7">
        <v>11120</v>
      </c>
      <c r="O287" s="7">
        <f t="shared" si="24"/>
        <v>11120</v>
      </c>
      <c r="P287" s="6" t="s">
        <v>27</v>
      </c>
      <c r="Q287" s="6" t="s">
        <v>87</v>
      </c>
      <c r="R287" s="4">
        <v>44116</v>
      </c>
      <c r="S287" s="6" t="s">
        <v>29</v>
      </c>
      <c r="T287" s="6" t="s">
        <v>36</v>
      </c>
    </row>
    <row r="288" spans="1:20" x14ac:dyDescent="0.35">
      <c r="A288" s="4">
        <v>44086</v>
      </c>
      <c r="B288" s="5">
        <f t="shared" si="20"/>
        <v>2020</v>
      </c>
      <c r="C288" s="5">
        <f t="shared" si="21"/>
        <v>9</v>
      </c>
      <c r="D288" s="5">
        <f t="shared" si="22"/>
        <v>12</v>
      </c>
      <c r="E288" s="5" t="str">
        <f t="shared" si="23"/>
        <v>September</v>
      </c>
      <c r="F288" s="6" t="s">
        <v>403</v>
      </c>
      <c r="G288" s="6" t="s">
        <v>404</v>
      </c>
      <c r="H288" s="6" t="s">
        <v>176</v>
      </c>
      <c r="I288" s="6" t="s">
        <v>177</v>
      </c>
      <c r="J288" s="6" t="s">
        <v>150</v>
      </c>
      <c r="K288" s="6" t="s">
        <v>157</v>
      </c>
      <c r="L288" s="6" t="s">
        <v>291</v>
      </c>
      <c r="M288" s="6">
        <v>20</v>
      </c>
      <c r="N288" s="6">
        <v>700</v>
      </c>
      <c r="O288" s="7">
        <f t="shared" si="24"/>
        <v>14000</v>
      </c>
      <c r="P288" s="6" t="s">
        <v>27</v>
      </c>
      <c r="Q288" s="6" t="s">
        <v>87</v>
      </c>
      <c r="R288" s="4">
        <v>44116</v>
      </c>
      <c r="S288" s="6" t="s">
        <v>29</v>
      </c>
      <c r="T288" s="6" t="s">
        <v>36</v>
      </c>
    </row>
    <row r="289" spans="1:20" x14ac:dyDescent="0.35">
      <c r="A289" s="4">
        <v>44086</v>
      </c>
      <c r="B289" s="5">
        <f t="shared" si="20"/>
        <v>2020</v>
      </c>
      <c r="C289" s="5">
        <f t="shared" si="21"/>
        <v>9</v>
      </c>
      <c r="D289" s="5">
        <f t="shared" si="22"/>
        <v>12</v>
      </c>
      <c r="E289" s="5" t="str">
        <f t="shared" si="23"/>
        <v>September</v>
      </c>
      <c r="F289" s="6" t="s">
        <v>405</v>
      </c>
      <c r="G289" s="6" t="s">
        <v>406</v>
      </c>
      <c r="H289" s="6" t="s">
        <v>340</v>
      </c>
      <c r="I289" s="6" t="s">
        <v>341</v>
      </c>
      <c r="J289" s="6" t="s">
        <v>150</v>
      </c>
      <c r="K289" s="6" t="s">
        <v>242</v>
      </c>
      <c r="L289" s="6" t="s">
        <v>344</v>
      </c>
      <c r="M289" s="6">
        <v>1</v>
      </c>
      <c r="N289" s="6">
        <v>1</v>
      </c>
      <c r="O289" s="7">
        <f t="shared" si="24"/>
        <v>1</v>
      </c>
      <c r="P289" s="6" t="s">
        <v>27</v>
      </c>
      <c r="Q289" s="6" t="s">
        <v>407</v>
      </c>
      <c r="R289" s="4">
        <v>44116</v>
      </c>
      <c r="S289" s="6" t="s">
        <v>29</v>
      </c>
      <c r="T289" s="6" t="s">
        <v>36</v>
      </c>
    </row>
    <row r="290" spans="1:20" x14ac:dyDescent="0.35">
      <c r="A290" s="4">
        <v>44086</v>
      </c>
      <c r="B290" s="5">
        <f t="shared" si="20"/>
        <v>2020</v>
      </c>
      <c r="C290" s="5">
        <f t="shared" si="21"/>
        <v>9</v>
      </c>
      <c r="D290" s="5">
        <f t="shared" si="22"/>
        <v>12</v>
      </c>
      <c r="E290" s="5" t="str">
        <f t="shared" si="23"/>
        <v>September</v>
      </c>
      <c r="F290" s="6" t="s">
        <v>405</v>
      </c>
      <c r="G290" s="6" t="s">
        <v>406</v>
      </c>
      <c r="H290" s="6" t="s">
        <v>340</v>
      </c>
      <c r="I290" s="6" t="s">
        <v>341</v>
      </c>
      <c r="J290" s="6" t="s">
        <v>150</v>
      </c>
      <c r="K290" s="6" t="s">
        <v>242</v>
      </c>
      <c r="L290" s="6" t="s">
        <v>342</v>
      </c>
      <c r="M290" s="6">
        <v>1</v>
      </c>
      <c r="N290" s="7">
        <v>1500</v>
      </c>
      <c r="O290" s="7">
        <f t="shared" si="24"/>
        <v>1500</v>
      </c>
      <c r="P290" s="6" t="s">
        <v>27</v>
      </c>
      <c r="Q290" s="6" t="s">
        <v>407</v>
      </c>
      <c r="R290" s="4">
        <v>44116</v>
      </c>
      <c r="S290" s="6" t="s">
        <v>29</v>
      </c>
      <c r="T290" s="6" t="s">
        <v>36</v>
      </c>
    </row>
    <row r="291" spans="1:20" x14ac:dyDescent="0.35">
      <c r="A291" s="4">
        <v>44055</v>
      </c>
      <c r="B291" s="5">
        <f t="shared" si="20"/>
        <v>2020</v>
      </c>
      <c r="C291" s="5">
        <f t="shared" si="21"/>
        <v>8</v>
      </c>
      <c r="D291" s="5">
        <f t="shared" si="22"/>
        <v>12</v>
      </c>
      <c r="E291" s="5" t="str">
        <f t="shared" si="23"/>
        <v>August</v>
      </c>
      <c r="F291" s="6" t="s">
        <v>408</v>
      </c>
      <c r="G291" s="6" t="s">
        <v>409</v>
      </c>
      <c r="H291" s="6" t="s">
        <v>44</v>
      </c>
      <c r="I291" s="6" t="s">
        <v>149</v>
      </c>
      <c r="J291" s="6" t="s">
        <v>150</v>
      </c>
      <c r="K291" s="6" t="s">
        <v>151</v>
      </c>
      <c r="L291" s="6" t="s">
        <v>152</v>
      </c>
      <c r="M291" s="6">
        <v>2</v>
      </c>
      <c r="N291" s="7">
        <v>11200</v>
      </c>
      <c r="O291" s="7">
        <f t="shared" si="24"/>
        <v>22400</v>
      </c>
      <c r="P291" s="6" t="s">
        <v>27</v>
      </c>
      <c r="Q291" s="6" t="s">
        <v>410</v>
      </c>
      <c r="R291" s="4">
        <v>44116</v>
      </c>
      <c r="S291" s="6" t="s">
        <v>29</v>
      </c>
      <c r="T291" s="6" t="s">
        <v>30</v>
      </c>
    </row>
    <row r="292" spans="1:20" x14ac:dyDescent="0.35">
      <c r="A292" s="4">
        <v>44086</v>
      </c>
      <c r="B292" s="5">
        <f t="shared" si="20"/>
        <v>2020</v>
      </c>
      <c r="C292" s="5">
        <f t="shared" si="21"/>
        <v>9</v>
      </c>
      <c r="D292" s="5">
        <f t="shared" si="22"/>
        <v>12</v>
      </c>
      <c r="E292" s="5" t="str">
        <f t="shared" si="23"/>
        <v>September</v>
      </c>
      <c r="F292" s="6" t="s">
        <v>411</v>
      </c>
      <c r="G292" s="6" t="s">
        <v>412</v>
      </c>
      <c r="H292" s="6" t="s">
        <v>364</v>
      </c>
      <c r="I292" s="6" t="s">
        <v>365</v>
      </c>
      <c r="J292" s="6" t="s">
        <v>150</v>
      </c>
      <c r="K292" s="6" t="s">
        <v>366</v>
      </c>
      <c r="L292" s="6" t="s">
        <v>367</v>
      </c>
      <c r="M292" s="6">
        <v>1</v>
      </c>
      <c r="N292" s="7">
        <v>4200</v>
      </c>
      <c r="O292" s="7">
        <f t="shared" si="24"/>
        <v>4200</v>
      </c>
      <c r="P292" s="6" t="s">
        <v>27</v>
      </c>
      <c r="Q292" s="6" t="s">
        <v>182</v>
      </c>
      <c r="R292" s="4">
        <v>44116</v>
      </c>
      <c r="S292" s="6" t="s">
        <v>29</v>
      </c>
      <c r="T292" s="6" t="s">
        <v>36</v>
      </c>
    </row>
    <row r="293" spans="1:20" x14ac:dyDescent="0.35">
      <c r="A293" s="4">
        <v>44086</v>
      </c>
      <c r="B293" s="5">
        <f t="shared" si="20"/>
        <v>2020</v>
      </c>
      <c r="C293" s="5">
        <f t="shared" si="21"/>
        <v>9</v>
      </c>
      <c r="D293" s="5">
        <f t="shared" si="22"/>
        <v>12</v>
      </c>
      <c r="E293" s="5" t="str">
        <f t="shared" si="23"/>
        <v>September</v>
      </c>
      <c r="F293" s="6" t="s">
        <v>411</v>
      </c>
      <c r="G293" s="6" t="s">
        <v>412</v>
      </c>
      <c r="H293" s="6" t="s">
        <v>382</v>
      </c>
      <c r="I293" s="6" t="s">
        <v>383</v>
      </c>
      <c r="J293" s="6" t="s">
        <v>150</v>
      </c>
      <c r="K293" s="6" t="s">
        <v>157</v>
      </c>
      <c r="L293" s="6" t="s">
        <v>384</v>
      </c>
      <c r="M293" s="6">
        <v>1</v>
      </c>
      <c r="N293" s="7">
        <v>1550</v>
      </c>
      <c r="O293" s="7">
        <f t="shared" si="24"/>
        <v>1550</v>
      </c>
      <c r="P293" s="6" t="s">
        <v>27</v>
      </c>
      <c r="Q293" s="6" t="s">
        <v>182</v>
      </c>
      <c r="R293" s="4">
        <v>44116</v>
      </c>
      <c r="S293" s="6" t="s">
        <v>29</v>
      </c>
      <c r="T293" s="6" t="s">
        <v>36</v>
      </c>
    </row>
    <row r="294" spans="1:20" x14ac:dyDescent="0.35">
      <c r="A294" s="4">
        <v>44086</v>
      </c>
      <c r="B294" s="5">
        <f t="shared" si="20"/>
        <v>2020</v>
      </c>
      <c r="C294" s="5">
        <f t="shared" si="21"/>
        <v>9</v>
      </c>
      <c r="D294" s="5">
        <f t="shared" si="22"/>
        <v>12</v>
      </c>
      <c r="E294" s="5" t="str">
        <f t="shared" si="23"/>
        <v>September</v>
      </c>
      <c r="F294" s="6" t="s">
        <v>411</v>
      </c>
      <c r="G294" s="6" t="s">
        <v>412</v>
      </c>
      <c r="H294" s="6" t="s">
        <v>44</v>
      </c>
      <c r="I294" s="6" t="s">
        <v>156</v>
      </c>
      <c r="J294" s="6" t="s">
        <v>150</v>
      </c>
      <c r="K294" s="6" t="s">
        <v>157</v>
      </c>
      <c r="L294" s="6" t="s">
        <v>158</v>
      </c>
      <c r="M294" s="6">
        <v>1</v>
      </c>
      <c r="N294" s="7">
        <v>7450</v>
      </c>
      <c r="O294" s="7">
        <f t="shared" si="24"/>
        <v>7450</v>
      </c>
      <c r="P294" s="6" t="s">
        <v>27</v>
      </c>
      <c r="Q294" s="6" t="s">
        <v>182</v>
      </c>
      <c r="R294" s="4">
        <v>44116</v>
      </c>
      <c r="S294" s="6" t="s">
        <v>29</v>
      </c>
      <c r="T294" s="6" t="s">
        <v>36</v>
      </c>
    </row>
    <row r="295" spans="1:20" x14ac:dyDescent="0.35">
      <c r="A295" s="4">
        <v>44086</v>
      </c>
      <c r="B295" s="5">
        <f t="shared" si="20"/>
        <v>2020</v>
      </c>
      <c r="C295" s="5">
        <f t="shared" si="21"/>
        <v>9</v>
      </c>
      <c r="D295" s="5">
        <f t="shared" si="22"/>
        <v>12</v>
      </c>
      <c r="E295" s="5" t="str">
        <f t="shared" si="23"/>
        <v>September</v>
      </c>
      <c r="F295" s="6" t="s">
        <v>411</v>
      </c>
      <c r="G295" s="6" t="s">
        <v>412</v>
      </c>
      <c r="H295" s="6" t="s">
        <v>39</v>
      </c>
      <c r="I295" s="6" t="s">
        <v>172</v>
      </c>
      <c r="J295" s="6" t="s">
        <v>150</v>
      </c>
      <c r="K295" s="6" t="s">
        <v>166</v>
      </c>
      <c r="L295" s="6" t="s">
        <v>203</v>
      </c>
      <c r="M295" s="6">
        <v>2</v>
      </c>
      <c r="N295" s="7">
        <v>3750</v>
      </c>
      <c r="O295" s="7">
        <f t="shared" si="24"/>
        <v>7500</v>
      </c>
      <c r="P295" s="6" t="s">
        <v>27</v>
      </c>
      <c r="Q295" s="6" t="s">
        <v>182</v>
      </c>
      <c r="R295" s="4">
        <v>44116</v>
      </c>
      <c r="S295" s="6" t="s">
        <v>29</v>
      </c>
      <c r="T295" s="6" t="s">
        <v>36</v>
      </c>
    </row>
    <row r="296" spans="1:20" x14ac:dyDescent="0.35">
      <c r="A296" s="4">
        <v>44086</v>
      </c>
      <c r="B296" s="5">
        <f t="shared" si="20"/>
        <v>2020</v>
      </c>
      <c r="C296" s="5">
        <f t="shared" si="21"/>
        <v>9</v>
      </c>
      <c r="D296" s="5">
        <f t="shared" si="22"/>
        <v>12</v>
      </c>
      <c r="E296" s="5" t="str">
        <f t="shared" si="23"/>
        <v>September</v>
      </c>
      <c r="F296" s="6" t="s">
        <v>411</v>
      </c>
      <c r="G296" s="6" t="s">
        <v>412</v>
      </c>
      <c r="H296" s="6" t="s">
        <v>39</v>
      </c>
      <c r="I296" s="6" t="s">
        <v>268</v>
      </c>
      <c r="J296" s="6" t="s">
        <v>150</v>
      </c>
      <c r="K296" s="6" t="s">
        <v>166</v>
      </c>
      <c r="L296" s="6" t="s">
        <v>269</v>
      </c>
      <c r="M296" s="6">
        <v>1</v>
      </c>
      <c r="N296" s="7">
        <v>8800</v>
      </c>
      <c r="O296" s="7">
        <f t="shared" si="24"/>
        <v>8800</v>
      </c>
      <c r="P296" s="6" t="s">
        <v>27</v>
      </c>
      <c r="Q296" s="6" t="s">
        <v>182</v>
      </c>
      <c r="R296" s="4">
        <v>44116</v>
      </c>
      <c r="S296" s="6" t="s">
        <v>29</v>
      </c>
      <c r="T296" s="6" t="s">
        <v>36</v>
      </c>
    </row>
    <row r="297" spans="1:20" x14ac:dyDescent="0.35">
      <c r="A297" s="4">
        <v>44086</v>
      </c>
      <c r="B297" s="5">
        <f t="shared" si="20"/>
        <v>2020</v>
      </c>
      <c r="C297" s="5">
        <f t="shared" si="21"/>
        <v>9</v>
      </c>
      <c r="D297" s="5">
        <f t="shared" si="22"/>
        <v>12</v>
      </c>
      <c r="E297" s="5" t="str">
        <f t="shared" si="23"/>
        <v>September</v>
      </c>
      <c r="F297" s="6" t="s">
        <v>411</v>
      </c>
      <c r="G297" s="6" t="s">
        <v>412</v>
      </c>
      <c r="H297" s="6" t="s">
        <v>176</v>
      </c>
      <c r="I297" s="6" t="s">
        <v>177</v>
      </c>
      <c r="J297" s="6" t="s">
        <v>150</v>
      </c>
      <c r="K297" s="6" t="s">
        <v>157</v>
      </c>
      <c r="L297" s="6" t="s">
        <v>291</v>
      </c>
      <c r="M297" s="6">
        <v>1</v>
      </c>
      <c r="N297" s="6">
        <v>700</v>
      </c>
      <c r="O297" s="7">
        <f t="shared" si="24"/>
        <v>700</v>
      </c>
      <c r="P297" s="6" t="s">
        <v>27</v>
      </c>
      <c r="Q297" s="6" t="s">
        <v>182</v>
      </c>
      <c r="R297" s="4">
        <v>44116</v>
      </c>
      <c r="S297" s="6" t="s">
        <v>29</v>
      </c>
      <c r="T297" s="6" t="s">
        <v>36</v>
      </c>
    </row>
    <row r="298" spans="1:20" x14ac:dyDescent="0.35">
      <c r="A298" s="4">
        <v>44086</v>
      </c>
      <c r="B298" s="5">
        <f t="shared" si="20"/>
        <v>2020</v>
      </c>
      <c r="C298" s="5">
        <f t="shared" si="21"/>
        <v>9</v>
      </c>
      <c r="D298" s="5">
        <f t="shared" si="22"/>
        <v>12</v>
      </c>
      <c r="E298" s="5" t="str">
        <f t="shared" si="23"/>
        <v>September</v>
      </c>
      <c r="F298" s="6" t="s">
        <v>413</v>
      </c>
      <c r="G298" s="6" t="s">
        <v>414</v>
      </c>
      <c r="H298" s="6" t="s">
        <v>340</v>
      </c>
      <c r="I298" s="6" t="s">
        <v>341</v>
      </c>
      <c r="J298" s="6" t="s">
        <v>150</v>
      </c>
      <c r="K298" s="6" t="s">
        <v>242</v>
      </c>
      <c r="L298" s="6" t="s">
        <v>342</v>
      </c>
      <c r="M298" s="6">
        <v>1</v>
      </c>
      <c r="N298" s="7">
        <v>1500</v>
      </c>
      <c r="O298" s="7">
        <f t="shared" si="24"/>
        <v>1500</v>
      </c>
      <c r="P298" s="6" t="s">
        <v>27</v>
      </c>
      <c r="Q298" s="6" t="s">
        <v>415</v>
      </c>
      <c r="R298" s="4">
        <v>44116</v>
      </c>
      <c r="S298" s="6" t="s">
        <v>29</v>
      </c>
      <c r="T298" s="6" t="s">
        <v>36</v>
      </c>
    </row>
    <row r="299" spans="1:20" x14ac:dyDescent="0.35">
      <c r="A299" s="4">
        <v>44086</v>
      </c>
      <c r="B299" s="5">
        <f t="shared" si="20"/>
        <v>2020</v>
      </c>
      <c r="C299" s="5">
        <f t="shared" si="21"/>
        <v>9</v>
      </c>
      <c r="D299" s="5">
        <f t="shared" si="22"/>
        <v>12</v>
      </c>
      <c r="E299" s="5" t="str">
        <f t="shared" si="23"/>
        <v>September</v>
      </c>
      <c r="F299" s="6" t="s">
        <v>413</v>
      </c>
      <c r="G299" s="6" t="s">
        <v>414</v>
      </c>
      <c r="H299" s="6" t="s">
        <v>340</v>
      </c>
      <c r="I299" s="6" t="s">
        <v>341</v>
      </c>
      <c r="J299" s="6" t="s">
        <v>150</v>
      </c>
      <c r="K299" s="6" t="s">
        <v>242</v>
      </c>
      <c r="L299" s="6" t="s">
        <v>344</v>
      </c>
      <c r="M299" s="6">
        <v>1</v>
      </c>
      <c r="N299" s="6">
        <v>1</v>
      </c>
      <c r="O299" s="7">
        <f t="shared" si="24"/>
        <v>1</v>
      </c>
      <c r="P299" s="6" t="s">
        <v>27</v>
      </c>
      <c r="Q299" s="6" t="s">
        <v>415</v>
      </c>
      <c r="R299" s="4">
        <v>44116</v>
      </c>
      <c r="S299" s="6" t="s">
        <v>29</v>
      </c>
      <c r="T299" s="6" t="s">
        <v>36</v>
      </c>
    </row>
    <row r="300" spans="1:20" x14ac:dyDescent="0.35">
      <c r="A300" s="4">
        <v>44086</v>
      </c>
      <c r="B300" s="5">
        <f t="shared" si="20"/>
        <v>2020</v>
      </c>
      <c r="C300" s="5">
        <f t="shared" si="21"/>
        <v>9</v>
      </c>
      <c r="D300" s="5">
        <f t="shared" si="22"/>
        <v>12</v>
      </c>
      <c r="E300" s="5" t="str">
        <f t="shared" si="23"/>
        <v>September</v>
      </c>
      <c r="F300" s="6" t="s">
        <v>416</v>
      </c>
      <c r="G300" s="6" t="s">
        <v>142</v>
      </c>
      <c r="H300" s="6" t="s">
        <v>200</v>
      </c>
      <c r="I300" s="6" t="s">
        <v>201</v>
      </c>
      <c r="J300" s="6" t="s">
        <v>150</v>
      </c>
      <c r="K300" s="6" t="s">
        <v>166</v>
      </c>
      <c r="L300" s="6" t="s">
        <v>213</v>
      </c>
      <c r="M300" s="6">
        <v>2</v>
      </c>
      <c r="N300" s="7">
        <v>8500</v>
      </c>
      <c r="O300" s="7">
        <f t="shared" si="24"/>
        <v>17000</v>
      </c>
      <c r="P300" s="6" t="s">
        <v>27</v>
      </c>
      <c r="Q300" s="6" t="s">
        <v>417</v>
      </c>
      <c r="R300" s="4">
        <v>44116</v>
      </c>
      <c r="S300" s="6" t="s">
        <v>85</v>
      </c>
      <c r="T300" s="6" t="s">
        <v>36</v>
      </c>
    </row>
    <row r="301" spans="1:20" x14ac:dyDescent="0.35">
      <c r="A301" s="4">
        <v>44086</v>
      </c>
      <c r="B301" s="5">
        <f t="shared" si="20"/>
        <v>2020</v>
      </c>
      <c r="C301" s="5">
        <f t="shared" si="21"/>
        <v>9</v>
      </c>
      <c r="D301" s="5">
        <f t="shared" si="22"/>
        <v>12</v>
      </c>
      <c r="E301" s="5" t="str">
        <f t="shared" si="23"/>
        <v>September</v>
      </c>
      <c r="F301" s="6" t="s">
        <v>416</v>
      </c>
      <c r="G301" s="6" t="s">
        <v>142</v>
      </c>
      <c r="H301" s="6" t="s">
        <v>44</v>
      </c>
      <c r="I301" s="6" t="s">
        <v>149</v>
      </c>
      <c r="J301" s="6" t="s">
        <v>150</v>
      </c>
      <c r="K301" s="6" t="s">
        <v>151</v>
      </c>
      <c r="L301" s="6" t="s">
        <v>190</v>
      </c>
      <c r="M301" s="6">
        <v>2</v>
      </c>
      <c r="N301" s="7">
        <v>10050</v>
      </c>
      <c r="O301" s="7">
        <f t="shared" si="24"/>
        <v>20100</v>
      </c>
      <c r="P301" s="6" t="s">
        <v>27</v>
      </c>
      <c r="Q301" s="6" t="s">
        <v>417</v>
      </c>
      <c r="R301" s="4">
        <v>44116</v>
      </c>
      <c r="S301" s="6" t="s">
        <v>85</v>
      </c>
      <c r="T301" s="6" t="s">
        <v>36</v>
      </c>
    </row>
    <row r="302" spans="1:20" x14ac:dyDescent="0.35">
      <c r="A302" s="4">
        <v>44086</v>
      </c>
      <c r="B302" s="5">
        <f t="shared" si="20"/>
        <v>2020</v>
      </c>
      <c r="C302" s="5">
        <f t="shared" si="21"/>
        <v>9</v>
      </c>
      <c r="D302" s="5">
        <f t="shared" si="22"/>
        <v>12</v>
      </c>
      <c r="E302" s="5" t="str">
        <f t="shared" si="23"/>
        <v>September</v>
      </c>
      <c r="F302" s="6" t="s">
        <v>416</v>
      </c>
      <c r="G302" s="6" t="s">
        <v>142</v>
      </c>
      <c r="H302" s="6" t="s">
        <v>44</v>
      </c>
      <c r="I302" s="6" t="s">
        <v>156</v>
      </c>
      <c r="J302" s="6" t="s">
        <v>150</v>
      </c>
      <c r="K302" s="6" t="s">
        <v>157</v>
      </c>
      <c r="L302" s="6" t="s">
        <v>158</v>
      </c>
      <c r="M302" s="6">
        <v>2</v>
      </c>
      <c r="N302" s="7">
        <v>7450</v>
      </c>
      <c r="O302" s="7">
        <f t="shared" si="24"/>
        <v>14900</v>
      </c>
      <c r="P302" s="6" t="s">
        <v>27</v>
      </c>
      <c r="Q302" s="6" t="s">
        <v>417</v>
      </c>
      <c r="R302" s="4">
        <v>44116</v>
      </c>
      <c r="S302" s="6" t="s">
        <v>85</v>
      </c>
      <c r="T302" s="6" t="s">
        <v>36</v>
      </c>
    </row>
    <row r="303" spans="1:20" x14ac:dyDescent="0.35">
      <c r="A303" s="4">
        <v>44116</v>
      </c>
      <c r="B303" s="5">
        <f t="shared" si="20"/>
        <v>2020</v>
      </c>
      <c r="C303" s="5">
        <f t="shared" si="21"/>
        <v>10</v>
      </c>
      <c r="D303" s="5">
        <f t="shared" si="22"/>
        <v>12</v>
      </c>
      <c r="E303" s="5" t="str">
        <f t="shared" si="23"/>
        <v>October</v>
      </c>
      <c r="F303" s="6" t="s">
        <v>418</v>
      </c>
      <c r="G303" s="6" t="s">
        <v>79</v>
      </c>
      <c r="H303" s="6" t="s">
        <v>200</v>
      </c>
      <c r="I303" s="6" t="s">
        <v>201</v>
      </c>
      <c r="J303" s="6" t="s">
        <v>150</v>
      </c>
      <c r="K303" s="6" t="s">
        <v>166</v>
      </c>
      <c r="L303" s="6" t="s">
        <v>206</v>
      </c>
      <c r="M303" s="6">
        <v>4</v>
      </c>
      <c r="N303" s="7">
        <v>6750</v>
      </c>
      <c r="O303" s="7">
        <f t="shared" si="24"/>
        <v>27000</v>
      </c>
      <c r="P303" s="6" t="s">
        <v>27</v>
      </c>
      <c r="Q303" s="6" t="s">
        <v>97</v>
      </c>
      <c r="R303" s="4">
        <v>44147</v>
      </c>
      <c r="S303" s="6" t="s">
        <v>29</v>
      </c>
      <c r="T303" s="6" t="s">
        <v>36</v>
      </c>
    </row>
    <row r="304" spans="1:20" x14ac:dyDescent="0.35">
      <c r="A304" s="4">
        <v>44116</v>
      </c>
      <c r="B304" s="5">
        <f t="shared" si="20"/>
        <v>2020</v>
      </c>
      <c r="C304" s="5">
        <f t="shared" si="21"/>
        <v>10</v>
      </c>
      <c r="D304" s="5">
        <f t="shared" si="22"/>
        <v>12</v>
      </c>
      <c r="E304" s="5" t="str">
        <f t="shared" si="23"/>
        <v>October</v>
      </c>
      <c r="F304" s="6" t="s">
        <v>418</v>
      </c>
      <c r="G304" s="6" t="s">
        <v>79</v>
      </c>
      <c r="H304" s="6" t="s">
        <v>364</v>
      </c>
      <c r="I304" s="6" t="s">
        <v>365</v>
      </c>
      <c r="J304" s="6" t="s">
        <v>150</v>
      </c>
      <c r="K304" s="6" t="s">
        <v>366</v>
      </c>
      <c r="L304" s="6" t="s">
        <v>419</v>
      </c>
      <c r="M304" s="6">
        <v>1</v>
      </c>
      <c r="N304" s="7">
        <v>4200</v>
      </c>
      <c r="O304" s="7">
        <f t="shared" si="24"/>
        <v>4200</v>
      </c>
      <c r="P304" s="6" t="s">
        <v>27</v>
      </c>
      <c r="Q304" s="6" t="s">
        <v>97</v>
      </c>
      <c r="R304" s="4">
        <v>44147</v>
      </c>
      <c r="S304" s="6" t="s">
        <v>29</v>
      </c>
      <c r="T304" s="6" t="s">
        <v>36</v>
      </c>
    </row>
    <row r="305" spans="1:20" x14ac:dyDescent="0.35">
      <c r="A305" s="4">
        <v>44116</v>
      </c>
      <c r="B305" s="5">
        <f t="shared" si="20"/>
        <v>2020</v>
      </c>
      <c r="C305" s="5">
        <f t="shared" si="21"/>
        <v>10</v>
      </c>
      <c r="D305" s="5">
        <f t="shared" si="22"/>
        <v>12</v>
      </c>
      <c r="E305" s="5" t="str">
        <f t="shared" si="23"/>
        <v>October</v>
      </c>
      <c r="F305" s="6" t="s">
        <v>420</v>
      </c>
      <c r="G305" s="6" t="s">
        <v>421</v>
      </c>
      <c r="H305" s="6" t="s">
        <v>44</v>
      </c>
      <c r="I305" s="6" t="s">
        <v>149</v>
      </c>
      <c r="J305" s="6" t="s">
        <v>150</v>
      </c>
      <c r="K305" s="6" t="s">
        <v>151</v>
      </c>
      <c r="L305" s="6" t="s">
        <v>152</v>
      </c>
      <c r="M305" s="6">
        <v>2</v>
      </c>
      <c r="N305" s="7">
        <v>11200</v>
      </c>
      <c r="O305" s="7">
        <f t="shared" si="24"/>
        <v>22400</v>
      </c>
      <c r="P305" s="6" t="s">
        <v>27</v>
      </c>
      <c r="Q305" s="6" t="s">
        <v>136</v>
      </c>
      <c r="R305" s="4">
        <v>44147</v>
      </c>
      <c r="S305" s="6" t="s">
        <v>29</v>
      </c>
      <c r="T305" s="6" t="s">
        <v>30</v>
      </c>
    </row>
    <row r="306" spans="1:20" x14ac:dyDescent="0.35">
      <c r="A306" s="4">
        <v>44116</v>
      </c>
      <c r="B306" s="5">
        <f t="shared" si="20"/>
        <v>2020</v>
      </c>
      <c r="C306" s="5">
        <f t="shared" si="21"/>
        <v>10</v>
      </c>
      <c r="D306" s="5">
        <f t="shared" si="22"/>
        <v>12</v>
      </c>
      <c r="E306" s="5" t="str">
        <f t="shared" si="23"/>
        <v>October</v>
      </c>
      <c r="F306" s="6" t="s">
        <v>420</v>
      </c>
      <c r="G306" s="6" t="s">
        <v>421</v>
      </c>
      <c r="H306" s="6" t="s">
        <v>44</v>
      </c>
      <c r="I306" s="6" t="s">
        <v>149</v>
      </c>
      <c r="J306" s="6" t="s">
        <v>150</v>
      </c>
      <c r="K306" s="6" t="s">
        <v>151</v>
      </c>
      <c r="L306" s="6" t="s">
        <v>155</v>
      </c>
      <c r="M306" s="6">
        <v>3</v>
      </c>
      <c r="N306" s="7">
        <v>9120</v>
      </c>
      <c r="O306" s="7">
        <f t="shared" si="24"/>
        <v>27360</v>
      </c>
      <c r="P306" s="6" t="s">
        <v>27</v>
      </c>
      <c r="Q306" s="6" t="s">
        <v>136</v>
      </c>
      <c r="R306" s="4">
        <v>44147</v>
      </c>
      <c r="S306" s="6" t="s">
        <v>29</v>
      </c>
      <c r="T306" s="6" t="s">
        <v>30</v>
      </c>
    </row>
    <row r="307" spans="1:20" x14ac:dyDescent="0.35">
      <c r="A307" s="4">
        <v>44116</v>
      </c>
      <c r="B307" s="5">
        <f t="shared" si="20"/>
        <v>2020</v>
      </c>
      <c r="C307" s="5">
        <f t="shared" si="21"/>
        <v>10</v>
      </c>
      <c r="D307" s="5">
        <f t="shared" si="22"/>
        <v>12</v>
      </c>
      <c r="E307" s="5" t="str">
        <f t="shared" si="23"/>
        <v>October</v>
      </c>
      <c r="F307" s="6" t="s">
        <v>422</v>
      </c>
      <c r="G307" s="6" t="s">
        <v>423</v>
      </c>
      <c r="H307" s="6" t="s">
        <v>44</v>
      </c>
      <c r="I307" s="6" t="s">
        <v>149</v>
      </c>
      <c r="J307" s="6" t="s">
        <v>150</v>
      </c>
      <c r="K307" s="6" t="s">
        <v>151</v>
      </c>
      <c r="L307" s="6" t="s">
        <v>152</v>
      </c>
      <c r="M307" s="6">
        <v>1</v>
      </c>
      <c r="N307" s="7">
        <v>11200</v>
      </c>
      <c r="O307" s="7">
        <f t="shared" si="24"/>
        <v>11200</v>
      </c>
      <c r="P307" s="6" t="s">
        <v>27</v>
      </c>
      <c r="Q307" s="6" t="s">
        <v>136</v>
      </c>
      <c r="R307" s="4">
        <v>44147</v>
      </c>
      <c r="S307" s="6" t="s">
        <v>29</v>
      </c>
      <c r="T307" s="6" t="s">
        <v>36</v>
      </c>
    </row>
    <row r="308" spans="1:20" x14ac:dyDescent="0.35">
      <c r="A308" s="4">
        <v>44116</v>
      </c>
      <c r="B308" s="5">
        <f t="shared" si="20"/>
        <v>2020</v>
      </c>
      <c r="C308" s="5">
        <f t="shared" si="21"/>
        <v>10</v>
      </c>
      <c r="D308" s="5">
        <f t="shared" si="22"/>
        <v>12</v>
      </c>
      <c r="E308" s="5" t="str">
        <f t="shared" si="23"/>
        <v>October</v>
      </c>
      <c r="F308" s="6" t="s">
        <v>422</v>
      </c>
      <c r="G308" s="6" t="s">
        <v>423</v>
      </c>
      <c r="H308" s="6" t="s">
        <v>44</v>
      </c>
      <c r="I308" s="6" t="s">
        <v>149</v>
      </c>
      <c r="J308" s="6" t="s">
        <v>150</v>
      </c>
      <c r="K308" s="6" t="s">
        <v>151</v>
      </c>
      <c r="L308" s="6" t="s">
        <v>155</v>
      </c>
      <c r="M308" s="6">
        <v>1</v>
      </c>
      <c r="N308" s="7">
        <v>9120</v>
      </c>
      <c r="O308" s="7">
        <f t="shared" si="24"/>
        <v>9120</v>
      </c>
      <c r="P308" s="6" t="s">
        <v>27</v>
      </c>
      <c r="Q308" s="6" t="s">
        <v>136</v>
      </c>
      <c r="R308" s="4">
        <v>44147</v>
      </c>
      <c r="S308" s="6" t="s">
        <v>29</v>
      </c>
      <c r="T308" s="6" t="s">
        <v>36</v>
      </c>
    </row>
    <row r="309" spans="1:20" x14ac:dyDescent="0.35">
      <c r="A309" s="4">
        <v>44116</v>
      </c>
      <c r="B309" s="5">
        <f t="shared" si="20"/>
        <v>2020</v>
      </c>
      <c r="C309" s="5">
        <f t="shared" si="21"/>
        <v>10</v>
      </c>
      <c r="D309" s="5">
        <f t="shared" si="22"/>
        <v>12</v>
      </c>
      <c r="E309" s="5" t="str">
        <f t="shared" si="23"/>
        <v>October</v>
      </c>
      <c r="F309" s="6" t="s">
        <v>422</v>
      </c>
      <c r="G309" s="6" t="s">
        <v>423</v>
      </c>
      <c r="H309" s="6" t="s">
        <v>200</v>
      </c>
      <c r="I309" s="6" t="s">
        <v>201</v>
      </c>
      <c r="J309" s="6" t="s">
        <v>150</v>
      </c>
      <c r="K309" s="6" t="s">
        <v>166</v>
      </c>
      <c r="L309" s="6" t="s">
        <v>206</v>
      </c>
      <c r="M309" s="6">
        <v>1</v>
      </c>
      <c r="N309" s="7">
        <v>6750</v>
      </c>
      <c r="O309" s="7">
        <f t="shared" si="24"/>
        <v>6750</v>
      </c>
      <c r="P309" s="6" t="s">
        <v>27</v>
      </c>
      <c r="Q309" s="6" t="s">
        <v>136</v>
      </c>
      <c r="R309" s="4">
        <v>44147</v>
      </c>
      <c r="S309" s="6" t="s">
        <v>29</v>
      </c>
      <c r="T309" s="6" t="s">
        <v>36</v>
      </c>
    </row>
    <row r="310" spans="1:20" x14ac:dyDescent="0.35">
      <c r="A310" s="4">
        <v>44116</v>
      </c>
      <c r="B310" s="5">
        <f t="shared" si="20"/>
        <v>2020</v>
      </c>
      <c r="C310" s="5">
        <f t="shared" si="21"/>
        <v>10</v>
      </c>
      <c r="D310" s="5">
        <f t="shared" si="22"/>
        <v>12</v>
      </c>
      <c r="E310" s="5" t="str">
        <f t="shared" si="23"/>
        <v>October</v>
      </c>
      <c r="F310" s="6" t="s">
        <v>424</v>
      </c>
      <c r="G310" s="6" t="s">
        <v>425</v>
      </c>
      <c r="H310" s="6" t="s">
        <v>200</v>
      </c>
      <c r="I310" s="6" t="s">
        <v>201</v>
      </c>
      <c r="J310" s="6" t="s">
        <v>150</v>
      </c>
      <c r="K310" s="6" t="s">
        <v>166</v>
      </c>
      <c r="L310" s="6" t="s">
        <v>213</v>
      </c>
      <c r="M310" s="6">
        <v>3</v>
      </c>
      <c r="N310" s="7">
        <v>8500</v>
      </c>
      <c r="O310" s="7">
        <f t="shared" si="24"/>
        <v>25500</v>
      </c>
      <c r="P310" s="6" t="s">
        <v>27</v>
      </c>
      <c r="Q310" s="6" t="s">
        <v>426</v>
      </c>
      <c r="R310" s="4">
        <v>44147</v>
      </c>
      <c r="S310" s="6" t="s">
        <v>29</v>
      </c>
      <c r="T310" s="6" t="s">
        <v>36</v>
      </c>
    </row>
    <row r="311" spans="1:20" x14ac:dyDescent="0.35">
      <c r="A311" s="4">
        <v>44116</v>
      </c>
      <c r="B311" s="5">
        <f t="shared" si="20"/>
        <v>2020</v>
      </c>
      <c r="C311" s="5">
        <f t="shared" si="21"/>
        <v>10</v>
      </c>
      <c r="D311" s="5">
        <f t="shared" si="22"/>
        <v>12</v>
      </c>
      <c r="E311" s="5" t="str">
        <f t="shared" si="23"/>
        <v>October</v>
      </c>
      <c r="F311" s="6" t="s">
        <v>427</v>
      </c>
      <c r="G311" s="6" t="s">
        <v>428</v>
      </c>
      <c r="H311" s="6" t="s">
        <v>340</v>
      </c>
      <c r="I311" s="6" t="s">
        <v>341</v>
      </c>
      <c r="J311" s="6" t="s">
        <v>150</v>
      </c>
      <c r="K311" s="6" t="s">
        <v>242</v>
      </c>
      <c r="L311" s="6" t="s">
        <v>342</v>
      </c>
      <c r="M311" s="6">
        <v>1</v>
      </c>
      <c r="N311" s="7">
        <v>1500</v>
      </c>
      <c r="O311" s="7">
        <f t="shared" si="24"/>
        <v>1500</v>
      </c>
      <c r="P311" s="6" t="s">
        <v>27</v>
      </c>
      <c r="Q311" s="6" t="s">
        <v>43</v>
      </c>
      <c r="R311" s="4">
        <v>44147</v>
      </c>
      <c r="S311" s="6" t="s">
        <v>85</v>
      </c>
      <c r="T311" s="6" t="s">
        <v>36</v>
      </c>
    </row>
    <row r="312" spans="1:20" x14ac:dyDescent="0.35">
      <c r="A312" s="4">
        <v>44116</v>
      </c>
      <c r="B312" s="5">
        <f t="shared" si="20"/>
        <v>2020</v>
      </c>
      <c r="C312" s="5">
        <f t="shared" si="21"/>
        <v>10</v>
      </c>
      <c r="D312" s="5">
        <f t="shared" si="22"/>
        <v>12</v>
      </c>
      <c r="E312" s="5" t="str">
        <f t="shared" si="23"/>
        <v>October</v>
      </c>
      <c r="F312" s="6" t="s">
        <v>427</v>
      </c>
      <c r="G312" s="6" t="s">
        <v>428</v>
      </c>
      <c r="H312" s="6" t="s">
        <v>340</v>
      </c>
      <c r="I312" s="6" t="s">
        <v>341</v>
      </c>
      <c r="J312" s="6" t="s">
        <v>150</v>
      </c>
      <c r="K312" s="6" t="s">
        <v>242</v>
      </c>
      <c r="L312" s="6" t="s">
        <v>344</v>
      </c>
      <c r="M312" s="6">
        <v>1</v>
      </c>
      <c r="N312" s="6">
        <v>1</v>
      </c>
      <c r="O312" s="7">
        <f t="shared" si="24"/>
        <v>1</v>
      </c>
      <c r="P312" s="6" t="s">
        <v>27</v>
      </c>
      <c r="Q312" s="6" t="s">
        <v>43</v>
      </c>
      <c r="R312" s="4">
        <v>44147</v>
      </c>
      <c r="S312" s="6" t="s">
        <v>85</v>
      </c>
      <c r="T312" s="6" t="s">
        <v>36</v>
      </c>
    </row>
    <row r="313" spans="1:20" x14ac:dyDescent="0.35">
      <c r="A313" s="4">
        <v>44086</v>
      </c>
      <c r="B313" s="5">
        <f t="shared" si="20"/>
        <v>2020</v>
      </c>
      <c r="C313" s="5">
        <f t="shared" si="21"/>
        <v>9</v>
      </c>
      <c r="D313" s="5">
        <f t="shared" si="22"/>
        <v>12</v>
      </c>
      <c r="E313" s="5" t="str">
        <f t="shared" si="23"/>
        <v>September</v>
      </c>
      <c r="F313" s="6" t="s">
        <v>429</v>
      </c>
      <c r="G313" s="6" t="s">
        <v>254</v>
      </c>
      <c r="H313" s="6" t="s">
        <v>44</v>
      </c>
      <c r="I313" s="6" t="s">
        <v>156</v>
      </c>
      <c r="J313" s="6" t="s">
        <v>150</v>
      </c>
      <c r="K313" s="6" t="s">
        <v>157</v>
      </c>
      <c r="L313" s="6" t="s">
        <v>247</v>
      </c>
      <c r="M313" s="6">
        <v>5.5</v>
      </c>
      <c r="N313" s="7">
        <v>7050</v>
      </c>
      <c r="O313" s="7">
        <f t="shared" si="24"/>
        <v>38775</v>
      </c>
      <c r="P313" s="6" t="s">
        <v>27</v>
      </c>
      <c r="Q313" s="6" t="s">
        <v>255</v>
      </c>
      <c r="R313" s="4">
        <v>44147</v>
      </c>
      <c r="S313" s="6" t="s">
        <v>29</v>
      </c>
      <c r="T313" s="6" t="s">
        <v>36</v>
      </c>
    </row>
    <row r="314" spans="1:20" x14ac:dyDescent="0.35">
      <c r="A314" s="4">
        <v>44116</v>
      </c>
      <c r="B314" s="5">
        <f t="shared" si="20"/>
        <v>2020</v>
      </c>
      <c r="C314" s="5">
        <f t="shared" si="21"/>
        <v>10</v>
      </c>
      <c r="D314" s="5">
        <f t="shared" si="22"/>
        <v>12</v>
      </c>
      <c r="E314" s="5" t="str">
        <f t="shared" si="23"/>
        <v>October</v>
      </c>
      <c r="F314" s="6" t="s">
        <v>88</v>
      </c>
      <c r="G314" s="6" t="s">
        <v>89</v>
      </c>
      <c r="H314" s="6" t="s">
        <v>364</v>
      </c>
      <c r="I314" s="6" t="s">
        <v>365</v>
      </c>
      <c r="J314" s="6" t="s">
        <v>150</v>
      </c>
      <c r="K314" s="6" t="s">
        <v>366</v>
      </c>
      <c r="L314" s="6" t="s">
        <v>367</v>
      </c>
      <c r="M314" s="6">
        <v>1</v>
      </c>
      <c r="N314" s="7">
        <v>4200</v>
      </c>
      <c r="O314" s="7">
        <f t="shared" si="24"/>
        <v>4200</v>
      </c>
      <c r="P314" s="6" t="s">
        <v>27</v>
      </c>
      <c r="Q314" s="6" t="s">
        <v>90</v>
      </c>
      <c r="R314" s="4">
        <v>44147</v>
      </c>
      <c r="S314" s="6" t="s">
        <v>29</v>
      </c>
      <c r="T314" s="6" t="s">
        <v>36</v>
      </c>
    </row>
    <row r="315" spans="1:20" x14ac:dyDescent="0.35">
      <c r="A315" s="4">
        <v>44116</v>
      </c>
      <c r="B315" s="5">
        <f t="shared" si="20"/>
        <v>2020</v>
      </c>
      <c r="C315" s="5">
        <f t="shared" si="21"/>
        <v>10</v>
      </c>
      <c r="D315" s="5">
        <f t="shared" si="22"/>
        <v>12</v>
      </c>
      <c r="E315" s="5" t="str">
        <f t="shared" si="23"/>
        <v>October</v>
      </c>
      <c r="F315" s="6" t="s">
        <v>88</v>
      </c>
      <c r="G315" s="6" t="s">
        <v>89</v>
      </c>
      <c r="H315" s="6" t="s">
        <v>382</v>
      </c>
      <c r="I315" s="6" t="s">
        <v>383</v>
      </c>
      <c r="J315" s="6" t="s">
        <v>150</v>
      </c>
      <c r="K315" s="6" t="s">
        <v>157</v>
      </c>
      <c r="L315" s="6" t="s">
        <v>384</v>
      </c>
      <c r="M315" s="6">
        <v>1</v>
      </c>
      <c r="N315" s="7">
        <v>1550</v>
      </c>
      <c r="O315" s="7">
        <f t="shared" si="24"/>
        <v>1550</v>
      </c>
      <c r="P315" s="6" t="s">
        <v>27</v>
      </c>
      <c r="Q315" s="6" t="s">
        <v>90</v>
      </c>
      <c r="R315" s="4">
        <v>44147</v>
      </c>
      <c r="S315" s="6" t="s">
        <v>29</v>
      </c>
      <c r="T315" s="6" t="s">
        <v>36</v>
      </c>
    </row>
    <row r="316" spans="1:20" x14ac:dyDescent="0.35">
      <c r="A316" s="4">
        <v>44116</v>
      </c>
      <c r="B316" s="5">
        <f t="shared" si="20"/>
        <v>2020</v>
      </c>
      <c r="C316" s="5">
        <f t="shared" si="21"/>
        <v>10</v>
      </c>
      <c r="D316" s="5">
        <f t="shared" si="22"/>
        <v>12</v>
      </c>
      <c r="E316" s="5" t="str">
        <f t="shared" si="23"/>
        <v>October</v>
      </c>
      <c r="F316" s="6" t="s">
        <v>88</v>
      </c>
      <c r="G316" s="6" t="s">
        <v>89</v>
      </c>
      <c r="H316" s="6" t="s">
        <v>44</v>
      </c>
      <c r="I316" s="6" t="s">
        <v>149</v>
      </c>
      <c r="J316" s="6" t="s">
        <v>150</v>
      </c>
      <c r="K316" s="6" t="s">
        <v>151</v>
      </c>
      <c r="L316" s="6" t="s">
        <v>152</v>
      </c>
      <c r="M316" s="6">
        <v>1</v>
      </c>
      <c r="N316" s="7">
        <v>11200</v>
      </c>
      <c r="O316" s="7">
        <f t="shared" si="24"/>
        <v>11200</v>
      </c>
      <c r="P316" s="6" t="s">
        <v>27</v>
      </c>
      <c r="Q316" s="6" t="s">
        <v>90</v>
      </c>
      <c r="R316" s="4">
        <v>44147</v>
      </c>
      <c r="S316" s="6" t="s">
        <v>29</v>
      </c>
      <c r="T316" s="6" t="s">
        <v>36</v>
      </c>
    </row>
    <row r="317" spans="1:20" x14ac:dyDescent="0.35">
      <c r="A317" s="4">
        <v>44116</v>
      </c>
      <c r="B317" s="5">
        <f t="shared" si="20"/>
        <v>2020</v>
      </c>
      <c r="C317" s="5">
        <f t="shared" si="21"/>
        <v>10</v>
      </c>
      <c r="D317" s="5">
        <f t="shared" si="22"/>
        <v>12</v>
      </c>
      <c r="E317" s="5" t="str">
        <f t="shared" si="23"/>
        <v>October</v>
      </c>
      <c r="F317" s="6" t="s">
        <v>430</v>
      </c>
      <c r="G317" s="6" t="s">
        <v>431</v>
      </c>
      <c r="H317" s="6" t="s">
        <v>364</v>
      </c>
      <c r="I317" s="6" t="s">
        <v>365</v>
      </c>
      <c r="J317" s="6" t="s">
        <v>150</v>
      </c>
      <c r="K317" s="6" t="s">
        <v>366</v>
      </c>
      <c r="L317" s="6" t="s">
        <v>367</v>
      </c>
      <c r="M317" s="6">
        <v>0.5</v>
      </c>
      <c r="N317" s="7">
        <v>4200</v>
      </c>
      <c r="O317" s="7">
        <f t="shared" si="24"/>
        <v>2100</v>
      </c>
      <c r="P317" s="6" t="s">
        <v>27</v>
      </c>
      <c r="Q317" s="6" t="s">
        <v>432</v>
      </c>
      <c r="R317" s="4">
        <v>44147</v>
      </c>
      <c r="S317" s="6" t="s">
        <v>29</v>
      </c>
      <c r="T317" s="6" t="s">
        <v>36</v>
      </c>
    </row>
    <row r="318" spans="1:20" x14ac:dyDescent="0.35">
      <c r="A318" s="4">
        <v>44116</v>
      </c>
      <c r="B318" s="5">
        <f t="shared" si="20"/>
        <v>2020</v>
      </c>
      <c r="C318" s="5">
        <f t="shared" si="21"/>
        <v>10</v>
      </c>
      <c r="D318" s="5">
        <f t="shared" si="22"/>
        <v>12</v>
      </c>
      <c r="E318" s="5" t="str">
        <f t="shared" si="23"/>
        <v>October</v>
      </c>
      <c r="F318" s="6" t="s">
        <v>430</v>
      </c>
      <c r="G318" s="6" t="s">
        <v>431</v>
      </c>
      <c r="H318" s="6" t="s">
        <v>44</v>
      </c>
      <c r="I318" s="6" t="s">
        <v>149</v>
      </c>
      <c r="J318" s="6" t="s">
        <v>150</v>
      </c>
      <c r="K318" s="6" t="s">
        <v>151</v>
      </c>
      <c r="L318" s="6" t="s">
        <v>152</v>
      </c>
      <c r="M318" s="6">
        <v>0.5</v>
      </c>
      <c r="N318" s="7">
        <v>11200</v>
      </c>
      <c r="O318" s="7">
        <f t="shared" si="24"/>
        <v>5600</v>
      </c>
      <c r="P318" s="6" t="s">
        <v>27</v>
      </c>
      <c r="Q318" s="6" t="s">
        <v>432</v>
      </c>
      <c r="R318" s="4">
        <v>44147</v>
      </c>
      <c r="S318" s="6" t="s">
        <v>29</v>
      </c>
      <c r="T318" s="6" t="s">
        <v>36</v>
      </c>
    </row>
    <row r="319" spans="1:20" x14ac:dyDescent="0.35">
      <c r="A319" s="4">
        <v>44116</v>
      </c>
      <c r="B319" s="5">
        <f t="shared" si="20"/>
        <v>2020</v>
      </c>
      <c r="C319" s="5">
        <f t="shared" si="21"/>
        <v>10</v>
      </c>
      <c r="D319" s="5">
        <f t="shared" si="22"/>
        <v>12</v>
      </c>
      <c r="E319" s="5" t="str">
        <f t="shared" si="23"/>
        <v>October</v>
      </c>
      <c r="F319" s="6" t="s">
        <v>430</v>
      </c>
      <c r="G319" s="6" t="s">
        <v>431</v>
      </c>
      <c r="H319" s="6" t="s">
        <v>44</v>
      </c>
      <c r="I319" s="6" t="s">
        <v>156</v>
      </c>
      <c r="J319" s="6" t="s">
        <v>150</v>
      </c>
      <c r="K319" s="6" t="s">
        <v>157</v>
      </c>
      <c r="L319" s="6" t="s">
        <v>158</v>
      </c>
      <c r="M319" s="6">
        <v>0.5</v>
      </c>
      <c r="N319" s="7">
        <v>7450</v>
      </c>
      <c r="O319" s="7">
        <f t="shared" si="24"/>
        <v>3725</v>
      </c>
      <c r="P319" s="6" t="s">
        <v>27</v>
      </c>
      <c r="Q319" s="6" t="s">
        <v>432</v>
      </c>
      <c r="R319" s="4">
        <v>44147</v>
      </c>
      <c r="S319" s="6" t="s">
        <v>29</v>
      </c>
      <c r="T319" s="6" t="s">
        <v>36</v>
      </c>
    </row>
    <row r="320" spans="1:20" x14ac:dyDescent="0.35">
      <c r="A320" s="4">
        <v>44116</v>
      </c>
      <c r="B320" s="5">
        <f t="shared" si="20"/>
        <v>2020</v>
      </c>
      <c r="C320" s="5">
        <f t="shared" si="21"/>
        <v>10</v>
      </c>
      <c r="D320" s="5">
        <f t="shared" si="22"/>
        <v>12</v>
      </c>
      <c r="E320" s="5" t="str">
        <f t="shared" si="23"/>
        <v>October</v>
      </c>
      <c r="F320" s="6" t="s">
        <v>430</v>
      </c>
      <c r="G320" s="6" t="s">
        <v>431</v>
      </c>
      <c r="H320" s="6" t="s">
        <v>44</v>
      </c>
      <c r="I320" s="6" t="s">
        <v>149</v>
      </c>
      <c r="J320" s="6" t="s">
        <v>150</v>
      </c>
      <c r="K320" s="6" t="s">
        <v>151</v>
      </c>
      <c r="L320" s="6" t="s">
        <v>155</v>
      </c>
      <c r="M320" s="6">
        <v>1</v>
      </c>
      <c r="N320" s="7">
        <v>9120</v>
      </c>
      <c r="O320" s="7">
        <f t="shared" si="24"/>
        <v>9120</v>
      </c>
      <c r="P320" s="6" t="s">
        <v>27</v>
      </c>
      <c r="Q320" s="6" t="s">
        <v>432</v>
      </c>
      <c r="R320" s="4">
        <v>44147</v>
      </c>
      <c r="S320" s="6" t="s">
        <v>29</v>
      </c>
      <c r="T320" s="6" t="s">
        <v>36</v>
      </c>
    </row>
    <row r="321" spans="1:20" x14ac:dyDescent="0.35">
      <c r="A321" s="4">
        <v>44116</v>
      </c>
      <c r="B321" s="5">
        <f t="shared" si="20"/>
        <v>2020</v>
      </c>
      <c r="C321" s="5">
        <f t="shared" si="21"/>
        <v>10</v>
      </c>
      <c r="D321" s="5">
        <f t="shared" si="22"/>
        <v>12</v>
      </c>
      <c r="E321" s="5" t="str">
        <f t="shared" si="23"/>
        <v>October</v>
      </c>
      <c r="F321" s="6" t="s">
        <v>430</v>
      </c>
      <c r="G321" s="6" t="s">
        <v>431</v>
      </c>
      <c r="H321" s="6" t="s">
        <v>176</v>
      </c>
      <c r="I321" s="6" t="s">
        <v>177</v>
      </c>
      <c r="J321" s="6" t="s">
        <v>150</v>
      </c>
      <c r="K321" s="6" t="s">
        <v>157</v>
      </c>
      <c r="L321" s="6" t="s">
        <v>291</v>
      </c>
      <c r="M321" s="6">
        <v>1</v>
      </c>
      <c r="N321" s="6">
        <v>700</v>
      </c>
      <c r="O321" s="7">
        <f t="shared" si="24"/>
        <v>700</v>
      </c>
      <c r="P321" s="6" t="s">
        <v>27</v>
      </c>
      <c r="Q321" s="6" t="s">
        <v>432</v>
      </c>
      <c r="R321" s="4">
        <v>44147</v>
      </c>
      <c r="S321" s="6" t="s">
        <v>29</v>
      </c>
      <c r="T321" s="6" t="s">
        <v>36</v>
      </c>
    </row>
    <row r="322" spans="1:20" x14ac:dyDescent="0.35">
      <c r="A322" s="4">
        <v>44116</v>
      </c>
      <c r="B322" s="5">
        <f t="shared" ref="B322:B385" si="25">YEAR(A322)</f>
        <v>2020</v>
      </c>
      <c r="C322" s="5">
        <f t="shared" ref="C322:C385" si="26">MONTH(A322)</f>
        <v>10</v>
      </c>
      <c r="D322" s="5">
        <f t="shared" ref="D322:D385" si="27">DAY(A322)</f>
        <v>12</v>
      </c>
      <c r="E322" s="5" t="str">
        <f t="shared" ref="E322:E385" si="28">TEXT(A322,"MMMM")</f>
        <v>October</v>
      </c>
      <c r="F322" s="6" t="s">
        <v>430</v>
      </c>
      <c r="G322" s="6" t="s">
        <v>431</v>
      </c>
      <c r="H322" s="6" t="s">
        <v>176</v>
      </c>
      <c r="I322" s="6" t="s">
        <v>177</v>
      </c>
      <c r="J322" s="6" t="s">
        <v>150</v>
      </c>
      <c r="K322" s="6" t="s">
        <v>157</v>
      </c>
      <c r="L322" s="6" t="s">
        <v>178</v>
      </c>
      <c r="M322" s="6">
        <v>1</v>
      </c>
      <c r="N322" s="7">
        <v>2000</v>
      </c>
      <c r="O322" s="7">
        <f t="shared" ref="O322:O385" si="29">M322*N322</f>
        <v>2000</v>
      </c>
      <c r="P322" s="6" t="s">
        <v>27</v>
      </c>
      <c r="Q322" s="6" t="s">
        <v>432</v>
      </c>
      <c r="R322" s="4">
        <v>44147</v>
      </c>
      <c r="S322" s="6" t="s">
        <v>29</v>
      </c>
      <c r="T322" s="6" t="s">
        <v>36</v>
      </c>
    </row>
    <row r="323" spans="1:20" x14ac:dyDescent="0.35">
      <c r="A323" s="4">
        <v>44116</v>
      </c>
      <c r="B323" s="5">
        <f t="shared" si="25"/>
        <v>2020</v>
      </c>
      <c r="C323" s="5">
        <f t="shared" si="26"/>
        <v>10</v>
      </c>
      <c r="D323" s="5">
        <f t="shared" si="27"/>
        <v>12</v>
      </c>
      <c r="E323" s="5" t="str">
        <f t="shared" si="28"/>
        <v>October</v>
      </c>
      <c r="F323" s="6" t="s">
        <v>430</v>
      </c>
      <c r="G323" s="6" t="s">
        <v>431</v>
      </c>
      <c r="H323" s="6" t="s">
        <v>164</v>
      </c>
      <c r="I323" s="6" t="s">
        <v>165</v>
      </c>
      <c r="J323" s="6" t="s">
        <v>150</v>
      </c>
      <c r="K323" s="6" t="s">
        <v>166</v>
      </c>
      <c r="L323" s="6" t="s">
        <v>167</v>
      </c>
      <c r="M323" s="6">
        <v>0.5</v>
      </c>
      <c r="N323" s="7">
        <v>7800</v>
      </c>
      <c r="O323" s="7">
        <f t="shared" si="29"/>
        <v>3900</v>
      </c>
      <c r="P323" s="6" t="s">
        <v>27</v>
      </c>
      <c r="Q323" s="6" t="s">
        <v>432</v>
      </c>
      <c r="R323" s="4">
        <v>44147</v>
      </c>
      <c r="S323" s="6" t="s">
        <v>29</v>
      </c>
      <c r="T323" s="6" t="s">
        <v>36</v>
      </c>
    </row>
    <row r="324" spans="1:20" x14ac:dyDescent="0.35">
      <c r="A324" s="4">
        <v>44116</v>
      </c>
      <c r="B324" s="5">
        <f t="shared" si="25"/>
        <v>2020</v>
      </c>
      <c r="C324" s="5">
        <f t="shared" si="26"/>
        <v>10</v>
      </c>
      <c r="D324" s="5">
        <f t="shared" si="27"/>
        <v>12</v>
      </c>
      <c r="E324" s="5" t="str">
        <f t="shared" si="28"/>
        <v>October</v>
      </c>
      <c r="F324" s="6" t="s">
        <v>430</v>
      </c>
      <c r="G324" s="6" t="s">
        <v>431</v>
      </c>
      <c r="H324" s="6" t="s">
        <v>164</v>
      </c>
      <c r="I324" s="6" t="s">
        <v>165</v>
      </c>
      <c r="J324" s="6" t="s">
        <v>150</v>
      </c>
      <c r="K324" s="6" t="s">
        <v>166</v>
      </c>
      <c r="L324" s="6" t="s">
        <v>211</v>
      </c>
      <c r="M324" s="6">
        <v>0.5</v>
      </c>
      <c r="N324" s="7">
        <v>8500</v>
      </c>
      <c r="O324" s="7">
        <f t="shared" si="29"/>
        <v>4250</v>
      </c>
      <c r="P324" s="6" t="s">
        <v>27</v>
      </c>
      <c r="Q324" s="6" t="s">
        <v>432</v>
      </c>
      <c r="R324" s="4">
        <v>44147</v>
      </c>
      <c r="S324" s="6" t="s">
        <v>29</v>
      </c>
      <c r="T324" s="6" t="s">
        <v>36</v>
      </c>
    </row>
    <row r="325" spans="1:20" x14ac:dyDescent="0.35">
      <c r="A325" s="4">
        <v>44116</v>
      </c>
      <c r="B325" s="5">
        <f t="shared" si="25"/>
        <v>2020</v>
      </c>
      <c r="C325" s="5">
        <f t="shared" si="26"/>
        <v>10</v>
      </c>
      <c r="D325" s="5">
        <f t="shared" si="27"/>
        <v>12</v>
      </c>
      <c r="E325" s="5" t="str">
        <f t="shared" si="28"/>
        <v>October</v>
      </c>
      <c r="F325" s="6" t="s">
        <v>430</v>
      </c>
      <c r="G325" s="6" t="s">
        <v>431</v>
      </c>
      <c r="H325" s="6" t="s">
        <v>200</v>
      </c>
      <c r="I325" s="6" t="s">
        <v>201</v>
      </c>
      <c r="J325" s="6" t="s">
        <v>150</v>
      </c>
      <c r="K325" s="6" t="s">
        <v>166</v>
      </c>
      <c r="L325" s="6" t="s">
        <v>206</v>
      </c>
      <c r="M325" s="6">
        <v>1</v>
      </c>
      <c r="N325" s="7">
        <v>6750</v>
      </c>
      <c r="O325" s="7">
        <f t="shared" si="29"/>
        <v>6750</v>
      </c>
      <c r="P325" s="6" t="s">
        <v>27</v>
      </c>
      <c r="Q325" s="6" t="s">
        <v>432</v>
      </c>
      <c r="R325" s="4">
        <v>44147</v>
      </c>
      <c r="S325" s="6" t="s">
        <v>29</v>
      </c>
      <c r="T325" s="6" t="s">
        <v>36</v>
      </c>
    </row>
    <row r="326" spans="1:20" x14ac:dyDescent="0.35">
      <c r="A326" s="4">
        <v>44116</v>
      </c>
      <c r="B326" s="5">
        <f t="shared" si="25"/>
        <v>2020</v>
      </c>
      <c r="C326" s="5">
        <f t="shared" si="26"/>
        <v>10</v>
      </c>
      <c r="D326" s="5">
        <f t="shared" si="27"/>
        <v>12</v>
      </c>
      <c r="E326" s="5" t="str">
        <f t="shared" si="28"/>
        <v>October</v>
      </c>
      <c r="F326" s="6" t="s">
        <v>433</v>
      </c>
      <c r="G326" s="6" t="s">
        <v>434</v>
      </c>
      <c r="H326" s="6" t="s">
        <v>200</v>
      </c>
      <c r="I326" s="6" t="s">
        <v>201</v>
      </c>
      <c r="J326" s="6" t="s">
        <v>150</v>
      </c>
      <c r="K326" s="6" t="s">
        <v>166</v>
      </c>
      <c r="L326" s="6" t="s">
        <v>206</v>
      </c>
      <c r="M326" s="6">
        <v>3</v>
      </c>
      <c r="N326" s="7">
        <v>6750</v>
      </c>
      <c r="O326" s="7">
        <f t="shared" si="29"/>
        <v>20250</v>
      </c>
      <c r="P326" s="6" t="s">
        <v>27</v>
      </c>
      <c r="Q326" s="6" t="s">
        <v>435</v>
      </c>
      <c r="R326" s="4">
        <v>44147</v>
      </c>
      <c r="S326" s="6" t="s">
        <v>29</v>
      </c>
      <c r="T326" s="6" t="s">
        <v>30</v>
      </c>
    </row>
    <row r="327" spans="1:20" x14ac:dyDescent="0.35">
      <c r="A327" s="4">
        <v>44116</v>
      </c>
      <c r="B327" s="5">
        <f t="shared" si="25"/>
        <v>2020</v>
      </c>
      <c r="C327" s="5">
        <f t="shared" si="26"/>
        <v>10</v>
      </c>
      <c r="D327" s="5">
        <f t="shared" si="27"/>
        <v>12</v>
      </c>
      <c r="E327" s="5" t="str">
        <f t="shared" si="28"/>
        <v>October</v>
      </c>
      <c r="F327" s="6" t="s">
        <v>433</v>
      </c>
      <c r="G327" s="6" t="s">
        <v>434</v>
      </c>
      <c r="H327" s="6" t="s">
        <v>44</v>
      </c>
      <c r="I327" s="6" t="s">
        <v>149</v>
      </c>
      <c r="J327" s="6" t="s">
        <v>150</v>
      </c>
      <c r="K327" s="6" t="s">
        <v>151</v>
      </c>
      <c r="L327" s="6" t="s">
        <v>266</v>
      </c>
      <c r="M327" s="6">
        <v>1</v>
      </c>
      <c r="N327" s="7">
        <v>13600</v>
      </c>
      <c r="O327" s="7">
        <f t="shared" si="29"/>
        <v>13600</v>
      </c>
      <c r="P327" s="6" t="s">
        <v>27</v>
      </c>
      <c r="Q327" s="6" t="s">
        <v>435</v>
      </c>
      <c r="R327" s="4">
        <v>44147</v>
      </c>
      <c r="S327" s="6" t="s">
        <v>29</v>
      </c>
      <c r="T327" s="6" t="s">
        <v>30</v>
      </c>
    </row>
    <row r="328" spans="1:20" x14ac:dyDescent="0.35">
      <c r="A328" s="4">
        <v>44116</v>
      </c>
      <c r="B328" s="5">
        <f t="shared" si="25"/>
        <v>2020</v>
      </c>
      <c r="C328" s="5">
        <f t="shared" si="26"/>
        <v>10</v>
      </c>
      <c r="D328" s="5">
        <f t="shared" si="27"/>
        <v>12</v>
      </c>
      <c r="E328" s="5" t="str">
        <f t="shared" si="28"/>
        <v>October</v>
      </c>
      <c r="F328" s="6" t="s">
        <v>92</v>
      </c>
      <c r="G328" s="6" t="s">
        <v>93</v>
      </c>
      <c r="H328" s="6" t="s">
        <v>200</v>
      </c>
      <c r="I328" s="6" t="s">
        <v>201</v>
      </c>
      <c r="J328" s="6" t="s">
        <v>150</v>
      </c>
      <c r="K328" s="6" t="s">
        <v>166</v>
      </c>
      <c r="L328" s="6" t="s">
        <v>206</v>
      </c>
      <c r="M328" s="6">
        <v>3</v>
      </c>
      <c r="N328" s="7">
        <v>6750</v>
      </c>
      <c r="O328" s="7">
        <f t="shared" si="29"/>
        <v>20250</v>
      </c>
      <c r="P328" s="6" t="s">
        <v>27</v>
      </c>
      <c r="Q328" s="6" t="s">
        <v>94</v>
      </c>
      <c r="R328" s="4">
        <v>44147</v>
      </c>
      <c r="S328" s="6" t="s">
        <v>29</v>
      </c>
      <c r="T328" s="6" t="s">
        <v>30</v>
      </c>
    </row>
    <row r="329" spans="1:20" x14ac:dyDescent="0.35">
      <c r="A329" s="4">
        <v>44116</v>
      </c>
      <c r="B329" s="5">
        <f t="shared" si="25"/>
        <v>2020</v>
      </c>
      <c r="C329" s="5">
        <f t="shared" si="26"/>
        <v>10</v>
      </c>
      <c r="D329" s="5">
        <f t="shared" si="27"/>
        <v>12</v>
      </c>
      <c r="E329" s="5" t="str">
        <f t="shared" si="28"/>
        <v>October</v>
      </c>
      <c r="F329" s="6" t="s">
        <v>92</v>
      </c>
      <c r="G329" s="6" t="s">
        <v>93</v>
      </c>
      <c r="H329" s="6" t="s">
        <v>364</v>
      </c>
      <c r="I329" s="6" t="s">
        <v>365</v>
      </c>
      <c r="J329" s="6" t="s">
        <v>150</v>
      </c>
      <c r="K329" s="6" t="s">
        <v>366</v>
      </c>
      <c r="L329" s="6" t="s">
        <v>367</v>
      </c>
      <c r="M329" s="6">
        <v>2</v>
      </c>
      <c r="N329" s="7">
        <v>4200</v>
      </c>
      <c r="O329" s="7">
        <f t="shared" si="29"/>
        <v>8400</v>
      </c>
      <c r="P329" s="6" t="s">
        <v>27</v>
      </c>
      <c r="Q329" s="6" t="s">
        <v>94</v>
      </c>
      <c r="R329" s="4">
        <v>44147</v>
      </c>
      <c r="S329" s="6" t="s">
        <v>29</v>
      </c>
      <c r="T329" s="6" t="s">
        <v>30</v>
      </c>
    </row>
    <row r="330" spans="1:20" x14ac:dyDescent="0.35">
      <c r="A330" s="4">
        <v>44116</v>
      </c>
      <c r="B330" s="5">
        <f t="shared" si="25"/>
        <v>2020</v>
      </c>
      <c r="C330" s="5">
        <f t="shared" si="26"/>
        <v>10</v>
      </c>
      <c r="D330" s="5">
        <f t="shared" si="27"/>
        <v>12</v>
      </c>
      <c r="E330" s="5" t="str">
        <f t="shared" si="28"/>
        <v>October</v>
      </c>
      <c r="F330" s="6" t="s">
        <v>436</v>
      </c>
      <c r="G330" s="6" t="s">
        <v>437</v>
      </c>
      <c r="H330" s="6" t="s">
        <v>191</v>
      </c>
      <c r="I330" s="6" t="s">
        <v>192</v>
      </c>
      <c r="J330" s="6" t="s">
        <v>150</v>
      </c>
      <c r="K330" s="6" t="s">
        <v>151</v>
      </c>
      <c r="L330" s="6" t="s">
        <v>193</v>
      </c>
      <c r="M330" s="6">
        <v>5</v>
      </c>
      <c r="N330" s="7">
        <v>9050</v>
      </c>
      <c r="O330" s="7">
        <f t="shared" si="29"/>
        <v>45250</v>
      </c>
      <c r="P330" s="6" t="s">
        <v>27</v>
      </c>
      <c r="Q330" s="6" t="s">
        <v>438</v>
      </c>
      <c r="R330" s="4">
        <v>44147</v>
      </c>
      <c r="S330" s="6" t="s">
        <v>85</v>
      </c>
      <c r="T330" s="6" t="s">
        <v>36</v>
      </c>
    </row>
    <row r="331" spans="1:20" x14ac:dyDescent="0.35">
      <c r="A331" s="4">
        <v>44116</v>
      </c>
      <c r="B331" s="5">
        <f t="shared" si="25"/>
        <v>2020</v>
      </c>
      <c r="C331" s="5">
        <f t="shared" si="26"/>
        <v>10</v>
      </c>
      <c r="D331" s="5">
        <f t="shared" si="27"/>
        <v>12</v>
      </c>
      <c r="E331" s="5" t="str">
        <f t="shared" si="28"/>
        <v>October</v>
      </c>
      <c r="F331" s="6" t="s">
        <v>439</v>
      </c>
      <c r="G331" s="6" t="s">
        <v>440</v>
      </c>
      <c r="H331" s="6" t="s">
        <v>44</v>
      </c>
      <c r="I331" s="6" t="s">
        <v>149</v>
      </c>
      <c r="J331" s="6" t="s">
        <v>150</v>
      </c>
      <c r="K331" s="6" t="s">
        <v>151</v>
      </c>
      <c r="L331" s="6" t="s">
        <v>152</v>
      </c>
      <c r="M331" s="6">
        <v>3</v>
      </c>
      <c r="N331" s="7">
        <v>11200</v>
      </c>
      <c r="O331" s="7">
        <f t="shared" si="29"/>
        <v>33600</v>
      </c>
      <c r="P331" s="6" t="s">
        <v>27</v>
      </c>
      <c r="Q331" s="6" t="s">
        <v>61</v>
      </c>
      <c r="R331" s="4">
        <v>44147</v>
      </c>
      <c r="S331" s="6" t="s">
        <v>29</v>
      </c>
      <c r="T331" s="6" t="s">
        <v>30</v>
      </c>
    </row>
    <row r="332" spans="1:20" x14ac:dyDescent="0.35">
      <c r="A332" s="4">
        <v>44116</v>
      </c>
      <c r="B332" s="5">
        <f t="shared" si="25"/>
        <v>2020</v>
      </c>
      <c r="C332" s="5">
        <f t="shared" si="26"/>
        <v>10</v>
      </c>
      <c r="D332" s="5">
        <f t="shared" si="27"/>
        <v>12</v>
      </c>
      <c r="E332" s="5" t="str">
        <f t="shared" si="28"/>
        <v>October</v>
      </c>
      <c r="F332" s="6" t="s">
        <v>441</v>
      </c>
      <c r="G332" s="6" t="s">
        <v>442</v>
      </c>
      <c r="H332" s="6" t="s">
        <v>340</v>
      </c>
      <c r="I332" s="6" t="s">
        <v>341</v>
      </c>
      <c r="J332" s="6" t="s">
        <v>150</v>
      </c>
      <c r="K332" s="6" t="s">
        <v>242</v>
      </c>
      <c r="L332" s="6" t="s">
        <v>344</v>
      </c>
      <c r="M332" s="6">
        <v>1</v>
      </c>
      <c r="N332" s="6">
        <v>1</v>
      </c>
      <c r="O332" s="7">
        <f t="shared" si="29"/>
        <v>1</v>
      </c>
      <c r="P332" s="6" t="s">
        <v>27</v>
      </c>
      <c r="Q332" s="6" t="s">
        <v>443</v>
      </c>
      <c r="R332" s="4">
        <v>44147</v>
      </c>
      <c r="S332" s="6" t="s">
        <v>29</v>
      </c>
      <c r="T332" s="6" t="s">
        <v>65</v>
      </c>
    </row>
    <row r="333" spans="1:20" x14ac:dyDescent="0.35">
      <c r="A333" s="4">
        <v>44116</v>
      </c>
      <c r="B333" s="5">
        <f t="shared" si="25"/>
        <v>2020</v>
      </c>
      <c r="C333" s="5">
        <f t="shared" si="26"/>
        <v>10</v>
      </c>
      <c r="D333" s="5">
        <f t="shared" si="27"/>
        <v>12</v>
      </c>
      <c r="E333" s="5" t="str">
        <f t="shared" si="28"/>
        <v>October</v>
      </c>
      <c r="F333" s="6" t="s">
        <v>441</v>
      </c>
      <c r="G333" s="6" t="s">
        <v>442</v>
      </c>
      <c r="H333" s="6" t="s">
        <v>340</v>
      </c>
      <c r="I333" s="6" t="s">
        <v>341</v>
      </c>
      <c r="J333" s="6" t="s">
        <v>150</v>
      </c>
      <c r="K333" s="6" t="s">
        <v>242</v>
      </c>
      <c r="L333" s="6" t="s">
        <v>342</v>
      </c>
      <c r="M333" s="6">
        <v>1</v>
      </c>
      <c r="N333" s="7">
        <v>1500</v>
      </c>
      <c r="O333" s="7">
        <f t="shared" si="29"/>
        <v>1500</v>
      </c>
      <c r="P333" s="6" t="s">
        <v>27</v>
      </c>
      <c r="Q333" s="6" t="s">
        <v>443</v>
      </c>
      <c r="R333" s="4">
        <v>44147</v>
      </c>
      <c r="S333" s="6" t="s">
        <v>29</v>
      </c>
      <c r="T333" s="6" t="s">
        <v>65</v>
      </c>
    </row>
    <row r="334" spans="1:20" x14ac:dyDescent="0.35">
      <c r="A334" s="4">
        <v>44116</v>
      </c>
      <c r="B334" s="5">
        <f t="shared" si="25"/>
        <v>2020</v>
      </c>
      <c r="C334" s="5">
        <f t="shared" si="26"/>
        <v>10</v>
      </c>
      <c r="D334" s="5">
        <f t="shared" si="27"/>
        <v>12</v>
      </c>
      <c r="E334" s="5" t="str">
        <f t="shared" si="28"/>
        <v>October</v>
      </c>
      <c r="F334" s="6" t="s">
        <v>444</v>
      </c>
      <c r="G334" s="6" t="s">
        <v>445</v>
      </c>
      <c r="H334" s="6" t="s">
        <v>176</v>
      </c>
      <c r="I334" s="6" t="s">
        <v>177</v>
      </c>
      <c r="J334" s="6" t="s">
        <v>150</v>
      </c>
      <c r="K334" s="6" t="s">
        <v>157</v>
      </c>
      <c r="L334" s="6" t="s">
        <v>178</v>
      </c>
      <c r="M334" s="6">
        <v>6</v>
      </c>
      <c r="N334" s="7">
        <v>2000</v>
      </c>
      <c r="O334" s="7">
        <f t="shared" si="29"/>
        <v>12000</v>
      </c>
      <c r="P334" s="6" t="s">
        <v>27</v>
      </c>
      <c r="Q334" s="6" t="s">
        <v>446</v>
      </c>
      <c r="R334" s="4">
        <v>44147</v>
      </c>
      <c r="S334" s="6" t="s">
        <v>29</v>
      </c>
      <c r="T334" s="6" t="s">
        <v>65</v>
      </c>
    </row>
    <row r="335" spans="1:20" x14ac:dyDescent="0.35">
      <c r="A335" s="4">
        <v>44116</v>
      </c>
      <c r="B335" s="5">
        <f t="shared" si="25"/>
        <v>2020</v>
      </c>
      <c r="C335" s="5">
        <f t="shared" si="26"/>
        <v>10</v>
      </c>
      <c r="D335" s="5">
        <f t="shared" si="27"/>
        <v>12</v>
      </c>
      <c r="E335" s="5" t="str">
        <f t="shared" si="28"/>
        <v>October</v>
      </c>
      <c r="F335" s="6" t="s">
        <v>444</v>
      </c>
      <c r="G335" s="6" t="s">
        <v>445</v>
      </c>
      <c r="H335" s="6" t="s">
        <v>164</v>
      </c>
      <c r="I335" s="6" t="s">
        <v>165</v>
      </c>
      <c r="J335" s="6" t="s">
        <v>150</v>
      </c>
      <c r="K335" s="6" t="s">
        <v>166</v>
      </c>
      <c r="L335" s="6" t="s">
        <v>167</v>
      </c>
      <c r="M335" s="6">
        <v>2</v>
      </c>
      <c r="N335" s="7">
        <v>7800</v>
      </c>
      <c r="O335" s="7">
        <f t="shared" si="29"/>
        <v>15600</v>
      </c>
      <c r="P335" s="6" t="s">
        <v>27</v>
      </c>
      <c r="Q335" s="6" t="s">
        <v>446</v>
      </c>
      <c r="R335" s="4">
        <v>44147</v>
      </c>
      <c r="S335" s="6" t="s">
        <v>29</v>
      </c>
      <c r="T335" s="6" t="s">
        <v>65</v>
      </c>
    </row>
    <row r="336" spans="1:20" x14ac:dyDescent="0.35">
      <c r="A336" s="4">
        <v>44116</v>
      </c>
      <c r="B336" s="5">
        <f t="shared" si="25"/>
        <v>2020</v>
      </c>
      <c r="C336" s="5">
        <f t="shared" si="26"/>
        <v>10</v>
      </c>
      <c r="D336" s="5">
        <f t="shared" si="27"/>
        <v>12</v>
      </c>
      <c r="E336" s="5" t="str">
        <f t="shared" si="28"/>
        <v>October</v>
      </c>
      <c r="F336" s="6" t="s">
        <v>444</v>
      </c>
      <c r="G336" s="6" t="s">
        <v>445</v>
      </c>
      <c r="H336" s="6" t="s">
        <v>164</v>
      </c>
      <c r="I336" s="6" t="s">
        <v>165</v>
      </c>
      <c r="J336" s="6" t="s">
        <v>150</v>
      </c>
      <c r="K336" s="6" t="s">
        <v>166</v>
      </c>
      <c r="L336" s="6" t="s">
        <v>211</v>
      </c>
      <c r="M336" s="6">
        <v>2</v>
      </c>
      <c r="N336" s="7">
        <v>8500</v>
      </c>
      <c r="O336" s="7">
        <f t="shared" si="29"/>
        <v>17000</v>
      </c>
      <c r="P336" s="6" t="s">
        <v>27</v>
      </c>
      <c r="Q336" s="6" t="s">
        <v>446</v>
      </c>
      <c r="R336" s="4">
        <v>44147</v>
      </c>
      <c r="S336" s="6" t="s">
        <v>29</v>
      </c>
      <c r="T336" s="6" t="s">
        <v>65</v>
      </c>
    </row>
    <row r="337" spans="1:20" x14ac:dyDescent="0.35">
      <c r="A337" s="4">
        <v>44116</v>
      </c>
      <c r="B337" s="5">
        <f t="shared" si="25"/>
        <v>2020</v>
      </c>
      <c r="C337" s="5">
        <f t="shared" si="26"/>
        <v>10</v>
      </c>
      <c r="D337" s="5">
        <f t="shared" si="27"/>
        <v>12</v>
      </c>
      <c r="E337" s="5" t="str">
        <f t="shared" si="28"/>
        <v>October</v>
      </c>
      <c r="F337" s="6" t="s">
        <v>444</v>
      </c>
      <c r="G337" s="6" t="s">
        <v>445</v>
      </c>
      <c r="H337" s="6" t="s">
        <v>340</v>
      </c>
      <c r="I337" s="6" t="s">
        <v>341</v>
      </c>
      <c r="J337" s="6" t="s">
        <v>150</v>
      </c>
      <c r="K337" s="6" t="s">
        <v>242</v>
      </c>
      <c r="L337" s="6" t="s">
        <v>342</v>
      </c>
      <c r="M337" s="6">
        <v>1</v>
      </c>
      <c r="N337" s="7">
        <v>1500</v>
      </c>
      <c r="O337" s="7">
        <f t="shared" si="29"/>
        <v>1500</v>
      </c>
      <c r="P337" s="6" t="s">
        <v>27</v>
      </c>
      <c r="Q337" s="6" t="s">
        <v>446</v>
      </c>
      <c r="R337" s="4">
        <v>44147</v>
      </c>
      <c r="S337" s="6" t="s">
        <v>29</v>
      </c>
      <c r="T337" s="6" t="s">
        <v>65</v>
      </c>
    </row>
    <row r="338" spans="1:20" x14ac:dyDescent="0.35">
      <c r="A338" s="4">
        <v>44116</v>
      </c>
      <c r="B338" s="5">
        <f t="shared" si="25"/>
        <v>2020</v>
      </c>
      <c r="C338" s="5">
        <f t="shared" si="26"/>
        <v>10</v>
      </c>
      <c r="D338" s="5">
        <f t="shared" si="27"/>
        <v>12</v>
      </c>
      <c r="E338" s="5" t="str">
        <f t="shared" si="28"/>
        <v>October</v>
      </c>
      <c r="F338" s="6" t="s">
        <v>444</v>
      </c>
      <c r="G338" s="6" t="s">
        <v>445</v>
      </c>
      <c r="H338" s="6" t="s">
        <v>340</v>
      </c>
      <c r="I338" s="6" t="s">
        <v>341</v>
      </c>
      <c r="J338" s="6" t="s">
        <v>150</v>
      </c>
      <c r="K338" s="6" t="s">
        <v>242</v>
      </c>
      <c r="L338" s="6" t="s">
        <v>344</v>
      </c>
      <c r="M338" s="6">
        <v>1</v>
      </c>
      <c r="N338" s="6">
        <v>1</v>
      </c>
      <c r="O338" s="7">
        <f t="shared" si="29"/>
        <v>1</v>
      </c>
      <c r="P338" s="6" t="s">
        <v>27</v>
      </c>
      <c r="Q338" s="6" t="s">
        <v>446</v>
      </c>
      <c r="R338" s="4">
        <v>44147</v>
      </c>
      <c r="S338" s="6" t="s">
        <v>29</v>
      </c>
      <c r="T338" s="6" t="s">
        <v>65</v>
      </c>
    </row>
    <row r="339" spans="1:20" x14ac:dyDescent="0.35">
      <c r="A339" s="4">
        <v>44086</v>
      </c>
      <c r="B339" s="5">
        <f t="shared" si="25"/>
        <v>2020</v>
      </c>
      <c r="C339" s="5">
        <f t="shared" si="26"/>
        <v>9</v>
      </c>
      <c r="D339" s="5">
        <f t="shared" si="27"/>
        <v>12</v>
      </c>
      <c r="E339" s="5" t="str">
        <f t="shared" si="28"/>
        <v>September</v>
      </c>
      <c r="F339" s="6" t="s">
        <v>447</v>
      </c>
      <c r="G339" s="6" t="s">
        <v>160</v>
      </c>
      <c r="H339" s="6" t="s">
        <v>44</v>
      </c>
      <c r="I339" s="6" t="s">
        <v>156</v>
      </c>
      <c r="J339" s="6" t="s">
        <v>150</v>
      </c>
      <c r="K339" s="6" t="s">
        <v>157</v>
      </c>
      <c r="L339" s="6" t="s">
        <v>158</v>
      </c>
      <c r="M339" s="6">
        <v>5</v>
      </c>
      <c r="N339" s="7">
        <v>7450</v>
      </c>
      <c r="O339" s="7">
        <f t="shared" si="29"/>
        <v>37250</v>
      </c>
      <c r="P339" s="6" t="s">
        <v>27</v>
      </c>
      <c r="Q339" s="6" t="s">
        <v>61</v>
      </c>
      <c r="R339" s="4">
        <v>44147</v>
      </c>
      <c r="S339" s="6" t="s">
        <v>29</v>
      </c>
      <c r="T339" s="6" t="s">
        <v>65</v>
      </c>
    </row>
    <row r="340" spans="1:20" x14ac:dyDescent="0.35">
      <c r="A340" s="4">
        <v>44116</v>
      </c>
      <c r="B340" s="5">
        <f t="shared" si="25"/>
        <v>2020</v>
      </c>
      <c r="C340" s="5">
        <f t="shared" si="26"/>
        <v>10</v>
      </c>
      <c r="D340" s="5">
        <f t="shared" si="27"/>
        <v>12</v>
      </c>
      <c r="E340" s="5" t="str">
        <f t="shared" si="28"/>
        <v>October</v>
      </c>
      <c r="F340" s="6" t="s">
        <v>448</v>
      </c>
      <c r="G340" s="6" t="s">
        <v>21</v>
      </c>
      <c r="H340" s="6" t="s">
        <v>44</v>
      </c>
      <c r="I340" s="6" t="s">
        <v>149</v>
      </c>
      <c r="J340" s="6" t="s">
        <v>150</v>
      </c>
      <c r="K340" s="6" t="s">
        <v>151</v>
      </c>
      <c r="L340" s="6" t="s">
        <v>155</v>
      </c>
      <c r="M340" s="6">
        <v>20</v>
      </c>
      <c r="N340" s="7">
        <v>9120</v>
      </c>
      <c r="O340" s="7">
        <f t="shared" si="29"/>
        <v>182400</v>
      </c>
      <c r="P340" s="6" t="s">
        <v>27</v>
      </c>
      <c r="Q340" s="6" t="s">
        <v>327</v>
      </c>
      <c r="R340" s="4">
        <v>44147</v>
      </c>
      <c r="S340" s="6" t="s">
        <v>29</v>
      </c>
      <c r="T340" s="6" t="s">
        <v>65</v>
      </c>
    </row>
    <row r="341" spans="1:20" x14ac:dyDescent="0.35">
      <c r="A341" s="4">
        <v>44116</v>
      </c>
      <c r="B341" s="5">
        <f t="shared" si="25"/>
        <v>2020</v>
      </c>
      <c r="C341" s="5">
        <f t="shared" si="26"/>
        <v>10</v>
      </c>
      <c r="D341" s="5">
        <f t="shared" si="27"/>
        <v>12</v>
      </c>
      <c r="E341" s="5" t="str">
        <f t="shared" si="28"/>
        <v>October</v>
      </c>
      <c r="F341" s="6" t="s">
        <v>449</v>
      </c>
      <c r="G341" s="6" t="s">
        <v>21</v>
      </c>
      <c r="H341" s="6" t="s">
        <v>200</v>
      </c>
      <c r="I341" s="6" t="s">
        <v>201</v>
      </c>
      <c r="J341" s="6" t="s">
        <v>150</v>
      </c>
      <c r="K341" s="6" t="s">
        <v>166</v>
      </c>
      <c r="L341" s="6" t="s">
        <v>285</v>
      </c>
      <c r="M341" s="6">
        <v>3</v>
      </c>
      <c r="N341" s="7">
        <v>19170</v>
      </c>
      <c r="O341" s="7">
        <f t="shared" si="29"/>
        <v>57510</v>
      </c>
      <c r="P341" s="6" t="s">
        <v>27</v>
      </c>
      <c r="Q341" s="6" t="s">
        <v>327</v>
      </c>
      <c r="R341" s="4">
        <v>44147</v>
      </c>
      <c r="S341" s="6" t="s">
        <v>29</v>
      </c>
      <c r="T341" s="6" t="s">
        <v>65</v>
      </c>
    </row>
    <row r="342" spans="1:20" x14ac:dyDescent="0.35">
      <c r="A342" s="4">
        <v>44116</v>
      </c>
      <c r="B342" s="5">
        <f t="shared" si="25"/>
        <v>2020</v>
      </c>
      <c r="C342" s="5">
        <f t="shared" si="26"/>
        <v>10</v>
      </c>
      <c r="D342" s="5">
        <f t="shared" si="27"/>
        <v>12</v>
      </c>
      <c r="E342" s="5" t="str">
        <f t="shared" si="28"/>
        <v>October</v>
      </c>
      <c r="F342" s="6" t="s">
        <v>450</v>
      </c>
      <c r="G342" s="6" t="s">
        <v>451</v>
      </c>
      <c r="H342" s="6" t="s">
        <v>200</v>
      </c>
      <c r="I342" s="6" t="s">
        <v>201</v>
      </c>
      <c r="J342" s="6" t="s">
        <v>150</v>
      </c>
      <c r="K342" s="6" t="s">
        <v>166</v>
      </c>
      <c r="L342" s="6" t="s">
        <v>206</v>
      </c>
      <c r="M342" s="6">
        <v>3</v>
      </c>
      <c r="N342" s="7">
        <v>6750</v>
      </c>
      <c r="O342" s="7">
        <f t="shared" si="29"/>
        <v>20250</v>
      </c>
      <c r="P342" s="6" t="s">
        <v>27</v>
      </c>
      <c r="Q342" s="6" t="s">
        <v>452</v>
      </c>
      <c r="R342" s="4">
        <v>44177</v>
      </c>
      <c r="S342" s="6" t="s">
        <v>29</v>
      </c>
      <c r="T342" s="6" t="s">
        <v>65</v>
      </c>
    </row>
    <row r="343" spans="1:20" x14ac:dyDescent="0.35">
      <c r="A343" s="4">
        <v>44116</v>
      </c>
      <c r="B343" s="5">
        <f t="shared" si="25"/>
        <v>2020</v>
      </c>
      <c r="C343" s="5">
        <f t="shared" si="26"/>
        <v>10</v>
      </c>
      <c r="D343" s="5">
        <f t="shared" si="27"/>
        <v>12</v>
      </c>
      <c r="E343" s="5" t="str">
        <f t="shared" si="28"/>
        <v>October</v>
      </c>
      <c r="F343" s="6" t="s">
        <v>450</v>
      </c>
      <c r="G343" s="6" t="s">
        <v>451</v>
      </c>
      <c r="H343" s="6" t="s">
        <v>44</v>
      </c>
      <c r="I343" s="6" t="s">
        <v>156</v>
      </c>
      <c r="J343" s="6" t="s">
        <v>150</v>
      </c>
      <c r="K343" s="6" t="s">
        <v>157</v>
      </c>
      <c r="L343" s="6" t="s">
        <v>158</v>
      </c>
      <c r="M343" s="6">
        <v>1</v>
      </c>
      <c r="N343" s="7">
        <v>7450</v>
      </c>
      <c r="O343" s="7">
        <f t="shared" si="29"/>
        <v>7450</v>
      </c>
      <c r="P343" s="6" t="s">
        <v>27</v>
      </c>
      <c r="Q343" s="6" t="s">
        <v>452</v>
      </c>
      <c r="R343" s="4">
        <v>44177</v>
      </c>
      <c r="S343" s="6" t="s">
        <v>29</v>
      </c>
      <c r="T343" s="6" t="s">
        <v>36</v>
      </c>
    </row>
    <row r="344" spans="1:20" x14ac:dyDescent="0.35">
      <c r="A344" s="4">
        <v>44116</v>
      </c>
      <c r="B344" s="5">
        <f t="shared" si="25"/>
        <v>2020</v>
      </c>
      <c r="C344" s="5">
        <f t="shared" si="26"/>
        <v>10</v>
      </c>
      <c r="D344" s="5">
        <f t="shared" si="27"/>
        <v>12</v>
      </c>
      <c r="E344" s="5" t="str">
        <f t="shared" si="28"/>
        <v>October</v>
      </c>
      <c r="F344" s="6" t="s">
        <v>450</v>
      </c>
      <c r="G344" s="6" t="s">
        <v>451</v>
      </c>
      <c r="H344" s="6" t="s">
        <v>44</v>
      </c>
      <c r="I344" s="6" t="s">
        <v>149</v>
      </c>
      <c r="J344" s="6" t="s">
        <v>150</v>
      </c>
      <c r="K344" s="6" t="s">
        <v>151</v>
      </c>
      <c r="L344" s="6" t="s">
        <v>155</v>
      </c>
      <c r="M344" s="6">
        <v>2</v>
      </c>
      <c r="N344" s="7">
        <v>9120</v>
      </c>
      <c r="O344" s="7">
        <f t="shared" si="29"/>
        <v>18240</v>
      </c>
      <c r="P344" s="6" t="s">
        <v>27</v>
      </c>
      <c r="Q344" s="6" t="s">
        <v>452</v>
      </c>
      <c r="R344" s="4">
        <v>44177</v>
      </c>
      <c r="S344" s="6" t="s">
        <v>29</v>
      </c>
      <c r="T344" s="6" t="s">
        <v>36</v>
      </c>
    </row>
    <row r="345" spans="1:20" x14ac:dyDescent="0.35">
      <c r="A345" s="4">
        <v>44147</v>
      </c>
      <c r="B345" s="5">
        <f t="shared" si="25"/>
        <v>2020</v>
      </c>
      <c r="C345" s="5">
        <f t="shared" si="26"/>
        <v>11</v>
      </c>
      <c r="D345" s="5">
        <f t="shared" si="27"/>
        <v>12</v>
      </c>
      <c r="E345" s="5" t="str">
        <f t="shared" si="28"/>
        <v>November</v>
      </c>
      <c r="F345" s="6" t="s">
        <v>453</v>
      </c>
      <c r="G345" s="6" t="s">
        <v>21</v>
      </c>
      <c r="H345" s="6" t="s">
        <v>44</v>
      </c>
      <c r="I345" s="6" t="s">
        <v>149</v>
      </c>
      <c r="J345" s="6" t="s">
        <v>150</v>
      </c>
      <c r="K345" s="6" t="s">
        <v>151</v>
      </c>
      <c r="L345" s="6" t="s">
        <v>152</v>
      </c>
      <c r="M345" s="6">
        <v>3</v>
      </c>
      <c r="N345" s="7">
        <v>11200</v>
      </c>
      <c r="O345" s="7">
        <f t="shared" si="29"/>
        <v>33600</v>
      </c>
      <c r="P345" s="6" t="s">
        <v>27</v>
      </c>
      <c r="Q345" s="6" t="s">
        <v>28</v>
      </c>
      <c r="R345" s="4">
        <v>44177</v>
      </c>
      <c r="S345" s="6" t="s">
        <v>29</v>
      </c>
      <c r="T345" s="6" t="s">
        <v>30</v>
      </c>
    </row>
    <row r="346" spans="1:20" x14ac:dyDescent="0.35">
      <c r="A346" s="4">
        <v>44147</v>
      </c>
      <c r="B346" s="5">
        <f t="shared" si="25"/>
        <v>2020</v>
      </c>
      <c r="C346" s="5">
        <f t="shared" si="26"/>
        <v>11</v>
      </c>
      <c r="D346" s="5">
        <f t="shared" si="27"/>
        <v>12</v>
      </c>
      <c r="E346" s="5" t="str">
        <f t="shared" si="28"/>
        <v>November</v>
      </c>
      <c r="F346" s="6" t="s">
        <v>453</v>
      </c>
      <c r="G346" s="6" t="s">
        <v>21</v>
      </c>
      <c r="H346" s="6" t="s">
        <v>44</v>
      </c>
      <c r="I346" s="6" t="s">
        <v>149</v>
      </c>
      <c r="J346" s="6" t="s">
        <v>150</v>
      </c>
      <c r="K346" s="6" t="s">
        <v>151</v>
      </c>
      <c r="L346" s="6" t="s">
        <v>188</v>
      </c>
      <c r="M346" s="6">
        <v>1</v>
      </c>
      <c r="N346" s="7">
        <v>9350</v>
      </c>
      <c r="O346" s="7">
        <f t="shared" si="29"/>
        <v>9350</v>
      </c>
      <c r="P346" s="6" t="s">
        <v>27</v>
      </c>
      <c r="Q346" s="6" t="s">
        <v>28</v>
      </c>
      <c r="R346" s="4">
        <v>44177</v>
      </c>
      <c r="S346" s="6" t="s">
        <v>29</v>
      </c>
      <c r="T346" s="6" t="s">
        <v>30</v>
      </c>
    </row>
    <row r="347" spans="1:20" x14ac:dyDescent="0.35">
      <c r="A347" s="4">
        <v>44147</v>
      </c>
      <c r="B347" s="5">
        <f t="shared" si="25"/>
        <v>2020</v>
      </c>
      <c r="C347" s="5">
        <f t="shared" si="26"/>
        <v>11</v>
      </c>
      <c r="D347" s="5">
        <f t="shared" si="27"/>
        <v>12</v>
      </c>
      <c r="E347" s="5" t="str">
        <f t="shared" si="28"/>
        <v>November</v>
      </c>
      <c r="F347" s="6" t="s">
        <v>95</v>
      </c>
      <c r="G347" s="6" t="s">
        <v>96</v>
      </c>
      <c r="H347" s="6" t="s">
        <v>39</v>
      </c>
      <c r="I347" s="6" t="s">
        <v>172</v>
      </c>
      <c r="J347" s="6" t="s">
        <v>150</v>
      </c>
      <c r="K347" s="6" t="s">
        <v>166</v>
      </c>
      <c r="L347" s="6" t="s">
        <v>454</v>
      </c>
      <c r="M347" s="6">
        <v>1</v>
      </c>
      <c r="N347" s="7">
        <v>12400</v>
      </c>
      <c r="O347" s="7">
        <f t="shared" si="29"/>
        <v>12400</v>
      </c>
      <c r="P347" s="6" t="s">
        <v>27</v>
      </c>
      <c r="Q347" s="6" t="s">
        <v>97</v>
      </c>
      <c r="R347" s="4">
        <v>44177</v>
      </c>
      <c r="S347" s="6" t="s">
        <v>85</v>
      </c>
      <c r="T347" s="6" t="s">
        <v>36</v>
      </c>
    </row>
    <row r="348" spans="1:20" x14ac:dyDescent="0.35">
      <c r="A348" s="4">
        <v>44147</v>
      </c>
      <c r="B348" s="5">
        <f t="shared" si="25"/>
        <v>2020</v>
      </c>
      <c r="C348" s="5">
        <f t="shared" si="26"/>
        <v>11</v>
      </c>
      <c r="D348" s="5">
        <f t="shared" si="27"/>
        <v>12</v>
      </c>
      <c r="E348" s="5" t="str">
        <f t="shared" si="28"/>
        <v>November</v>
      </c>
      <c r="F348" s="6" t="s">
        <v>95</v>
      </c>
      <c r="G348" s="6" t="s">
        <v>96</v>
      </c>
      <c r="H348" s="6" t="s">
        <v>200</v>
      </c>
      <c r="I348" s="6" t="s">
        <v>201</v>
      </c>
      <c r="J348" s="6" t="s">
        <v>150</v>
      </c>
      <c r="K348" s="6" t="s">
        <v>166</v>
      </c>
      <c r="L348" s="6" t="s">
        <v>206</v>
      </c>
      <c r="M348" s="6">
        <v>10</v>
      </c>
      <c r="N348" s="7">
        <v>6750</v>
      </c>
      <c r="O348" s="7">
        <f t="shared" si="29"/>
        <v>67500</v>
      </c>
      <c r="P348" s="6" t="s">
        <v>27</v>
      </c>
      <c r="Q348" s="6" t="s">
        <v>97</v>
      </c>
      <c r="R348" s="4">
        <v>44177</v>
      </c>
      <c r="S348" s="6" t="s">
        <v>85</v>
      </c>
      <c r="T348" s="6" t="s">
        <v>36</v>
      </c>
    </row>
    <row r="349" spans="1:20" x14ac:dyDescent="0.35">
      <c r="A349" s="4">
        <v>44147</v>
      </c>
      <c r="B349" s="5">
        <f t="shared" si="25"/>
        <v>2020</v>
      </c>
      <c r="C349" s="5">
        <f t="shared" si="26"/>
        <v>11</v>
      </c>
      <c r="D349" s="5">
        <f t="shared" si="27"/>
        <v>12</v>
      </c>
      <c r="E349" s="5" t="str">
        <f t="shared" si="28"/>
        <v>November</v>
      </c>
      <c r="F349" s="6" t="s">
        <v>455</v>
      </c>
      <c r="G349" s="6" t="s">
        <v>456</v>
      </c>
      <c r="H349" s="6" t="s">
        <v>39</v>
      </c>
      <c r="I349" s="6" t="s">
        <v>268</v>
      </c>
      <c r="J349" s="6" t="s">
        <v>150</v>
      </c>
      <c r="K349" s="6" t="s">
        <v>166</v>
      </c>
      <c r="L349" s="6" t="s">
        <v>457</v>
      </c>
      <c r="M349" s="6">
        <v>1</v>
      </c>
      <c r="N349" s="7">
        <v>3750</v>
      </c>
      <c r="O349" s="7">
        <f t="shared" si="29"/>
        <v>3750</v>
      </c>
      <c r="P349" s="6" t="s">
        <v>27</v>
      </c>
      <c r="Q349" s="6" t="s">
        <v>145</v>
      </c>
      <c r="R349" s="4">
        <v>44177</v>
      </c>
      <c r="S349" s="6" t="s">
        <v>29</v>
      </c>
      <c r="T349" s="6" t="s">
        <v>30</v>
      </c>
    </row>
    <row r="350" spans="1:20" x14ac:dyDescent="0.35">
      <c r="A350" s="4">
        <v>44147</v>
      </c>
      <c r="B350" s="5">
        <f t="shared" si="25"/>
        <v>2020</v>
      </c>
      <c r="C350" s="5">
        <f t="shared" si="26"/>
        <v>11</v>
      </c>
      <c r="D350" s="5">
        <f t="shared" si="27"/>
        <v>12</v>
      </c>
      <c r="E350" s="5" t="str">
        <f t="shared" si="28"/>
        <v>November</v>
      </c>
      <c r="F350" s="6" t="s">
        <v>455</v>
      </c>
      <c r="G350" s="6" t="s">
        <v>456</v>
      </c>
      <c r="H350" s="6" t="s">
        <v>39</v>
      </c>
      <c r="I350" s="6" t="s">
        <v>172</v>
      </c>
      <c r="J350" s="6" t="s">
        <v>150</v>
      </c>
      <c r="K350" s="6" t="s">
        <v>166</v>
      </c>
      <c r="L350" s="6" t="s">
        <v>203</v>
      </c>
      <c r="M350" s="6">
        <v>1</v>
      </c>
      <c r="N350" s="7">
        <v>3750</v>
      </c>
      <c r="O350" s="7">
        <f t="shared" si="29"/>
        <v>3750</v>
      </c>
      <c r="P350" s="6" t="s">
        <v>27</v>
      </c>
      <c r="Q350" s="6" t="s">
        <v>145</v>
      </c>
      <c r="R350" s="4">
        <v>44177</v>
      </c>
      <c r="S350" s="6" t="s">
        <v>29</v>
      </c>
      <c r="T350" s="6" t="s">
        <v>30</v>
      </c>
    </row>
    <row r="351" spans="1:20" x14ac:dyDescent="0.35">
      <c r="A351" s="4">
        <v>44147</v>
      </c>
      <c r="B351" s="5">
        <f t="shared" si="25"/>
        <v>2020</v>
      </c>
      <c r="C351" s="5">
        <f t="shared" si="26"/>
        <v>11</v>
      </c>
      <c r="D351" s="5">
        <f t="shared" si="27"/>
        <v>12</v>
      </c>
      <c r="E351" s="5" t="str">
        <f t="shared" si="28"/>
        <v>November</v>
      </c>
      <c r="F351" s="6" t="s">
        <v>455</v>
      </c>
      <c r="G351" s="6" t="s">
        <v>456</v>
      </c>
      <c r="H351" s="6" t="s">
        <v>44</v>
      </c>
      <c r="I351" s="6" t="s">
        <v>156</v>
      </c>
      <c r="J351" s="6" t="s">
        <v>150</v>
      </c>
      <c r="K351" s="6" t="s">
        <v>157</v>
      </c>
      <c r="L351" s="6" t="s">
        <v>247</v>
      </c>
      <c r="M351" s="6">
        <v>0.25</v>
      </c>
      <c r="N351" s="7">
        <v>7050</v>
      </c>
      <c r="O351" s="7">
        <f t="shared" si="29"/>
        <v>1762.5</v>
      </c>
      <c r="P351" s="6" t="s">
        <v>27</v>
      </c>
      <c r="Q351" s="6" t="s">
        <v>145</v>
      </c>
      <c r="R351" s="4">
        <v>44177</v>
      </c>
      <c r="S351" s="6" t="s">
        <v>29</v>
      </c>
      <c r="T351" s="6" t="s">
        <v>30</v>
      </c>
    </row>
    <row r="352" spans="1:20" x14ac:dyDescent="0.35">
      <c r="A352" s="4">
        <v>44147</v>
      </c>
      <c r="B352" s="5">
        <f t="shared" si="25"/>
        <v>2020</v>
      </c>
      <c r="C352" s="5">
        <f t="shared" si="26"/>
        <v>11</v>
      </c>
      <c r="D352" s="5">
        <f t="shared" si="27"/>
        <v>12</v>
      </c>
      <c r="E352" s="5" t="str">
        <f t="shared" si="28"/>
        <v>November</v>
      </c>
      <c r="F352" s="6" t="s">
        <v>458</v>
      </c>
      <c r="G352" s="6" t="s">
        <v>142</v>
      </c>
      <c r="H352" s="6" t="s">
        <v>200</v>
      </c>
      <c r="I352" s="6" t="s">
        <v>201</v>
      </c>
      <c r="J352" s="6" t="s">
        <v>150</v>
      </c>
      <c r="K352" s="6" t="s">
        <v>166</v>
      </c>
      <c r="L352" s="6" t="s">
        <v>213</v>
      </c>
      <c r="M352" s="6">
        <v>2</v>
      </c>
      <c r="N352" s="7">
        <v>8500</v>
      </c>
      <c r="O352" s="7">
        <f t="shared" si="29"/>
        <v>17000</v>
      </c>
      <c r="P352" s="6" t="s">
        <v>27</v>
      </c>
      <c r="Q352" s="6" t="s">
        <v>396</v>
      </c>
      <c r="R352" s="4">
        <v>44177</v>
      </c>
      <c r="S352" s="6" t="s">
        <v>85</v>
      </c>
      <c r="T352" s="6" t="s">
        <v>36</v>
      </c>
    </row>
    <row r="353" spans="1:20" x14ac:dyDescent="0.35">
      <c r="A353" s="4">
        <v>44147</v>
      </c>
      <c r="B353" s="5">
        <f t="shared" si="25"/>
        <v>2020</v>
      </c>
      <c r="C353" s="5">
        <f t="shared" si="26"/>
        <v>11</v>
      </c>
      <c r="D353" s="5">
        <f t="shared" si="27"/>
        <v>12</v>
      </c>
      <c r="E353" s="5" t="str">
        <f t="shared" si="28"/>
        <v>November</v>
      </c>
      <c r="F353" s="6" t="s">
        <v>458</v>
      </c>
      <c r="G353" s="6" t="s">
        <v>142</v>
      </c>
      <c r="H353" s="6" t="s">
        <v>44</v>
      </c>
      <c r="I353" s="6" t="s">
        <v>149</v>
      </c>
      <c r="J353" s="6" t="s">
        <v>150</v>
      </c>
      <c r="K353" s="6" t="s">
        <v>151</v>
      </c>
      <c r="L353" s="6" t="s">
        <v>190</v>
      </c>
      <c r="M353" s="6">
        <v>1</v>
      </c>
      <c r="N353" s="7">
        <v>10050</v>
      </c>
      <c r="O353" s="7">
        <f t="shared" si="29"/>
        <v>10050</v>
      </c>
      <c r="P353" s="6" t="s">
        <v>27</v>
      </c>
      <c r="Q353" s="6" t="s">
        <v>396</v>
      </c>
      <c r="R353" s="4">
        <v>44177</v>
      </c>
      <c r="S353" s="6" t="s">
        <v>85</v>
      </c>
      <c r="T353" s="6" t="s">
        <v>36</v>
      </c>
    </row>
    <row r="354" spans="1:20" x14ac:dyDescent="0.35">
      <c r="A354" s="4">
        <v>44147</v>
      </c>
      <c r="B354" s="5">
        <f t="shared" si="25"/>
        <v>2020</v>
      </c>
      <c r="C354" s="5">
        <f t="shared" si="26"/>
        <v>11</v>
      </c>
      <c r="D354" s="5">
        <f t="shared" si="27"/>
        <v>12</v>
      </c>
      <c r="E354" s="5" t="str">
        <f t="shared" si="28"/>
        <v>November</v>
      </c>
      <c r="F354" s="6" t="s">
        <v>458</v>
      </c>
      <c r="G354" s="6" t="s">
        <v>142</v>
      </c>
      <c r="H354" s="6" t="s">
        <v>44</v>
      </c>
      <c r="I354" s="6" t="s">
        <v>156</v>
      </c>
      <c r="J354" s="6" t="s">
        <v>150</v>
      </c>
      <c r="K354" s="6" t="s">
        <v>157</v>
      </c>
      <c r="L354" s="6" t="s">
        <v>158</v>
      </c>
      <c r="M354" s="6">
        <v>2</v>
      </c>
      <c r="N354" s="7">
        <v>7450</v>
      </c>
      <c r="O354" s="7">
        <f t="shared" si="29"/>
        <v>14900</v>
      </c>
      <c r="P354" s="6" t="s">
        <v>27</v>
      </c>
      <c r="Q354" s="6" t="s">
        <v>396</v>
      </c>
      <c r="R354" s="4">
        <v>44177</v>
      </c>
      <c r="S354" s="6" t="s">
        <v>85</v>
      </c>
      <c r="T354" s="6" t="s">
        <v>65</v>
      </c>
    </row>
    <row r="355" spans="1:20" x14ac:dyDescent="0.35">
      <c r="A355" s="4">
        <v>44147</v>
      </c>
      <c r="B355" s="5">
        <f t="shared" si="25"/>
        <v>2020</v>
      </c>
      <c r="C355" s="5">
        <f t="shared" si="26"/>
        <v>11</v>
      </c>
      <c r="D355" s="5">
        <f t="shared" si="27"/>
        <v>12</v>
      </c>
      <c r="E355" s="5" t="str">
        <f t="shared" si="28"/>
        <v>November</v>
      </c>
      <c r="F355" s="6" t="s">
        <v>459</v>
      </c>
      <c r="G355" s="6" t="s">
        <v>198</v>
      </c>
      <c r="H355" s="6" t="s">
        <v>191</v>
      </c>
      <c r="I355" s="6" t="s">
        <v>192</v>
      </c>
      <c r="J355" s="6" t="s">
        <v>150</v>
      </c>
      <c r="K355" s="6" t="s">
        <v>151</v>
      </c>
      <c r="L355" s="6" t="s">
        <v>193</v>
      </c>
      <c r="M355" s="6">
        <v>1</v>
      </c>
      <c r="N355" s="7">
        <v>9050</v>
      </c>
      <c r="O355" s="7">
        <f t="shared" si="29"/>
        <v>9050</v>
      </c>
      <c r="P355" s="6" t="s">
        <v>27</v>
      </c>
      <c r="Q355" s="6" t="s">
        <v>460</v>
      </c>
      <c r="R355" s="4">
        <v>44177</v>
      </c>
      <c r="S355" s="6" t="s">
        <v>29</v>
      </c>
      <c r="T355" s="6" t="s">
        <v>65</v>
      </c>
    </row>
    <row r="356" spans="1:20" x14ac:dyDescent="0.35">
      <c r="A356" s="4">
        <v>44147</v>
      </c>
      <c r="B356" s="5">
        <f t="shared" si="25"/>
        <v>2020</v>
      </c>
      <c r="C356" s="5">
        <f t="shared" si="26"/>
        <v>11</v>
      </c>
      <c r="D356" s="5">
        <f t="shared" si="27"/>
        <v>12</v>
      </c>
      <c r="E356" s="5" t="str">
        <f t="shared" si="28"/>
        <v>November</v>
      </c>
      <c r="F356" s="6" t="s">
        <v>459</v>
      </c>
      <c r="G356" s="6" t="s">
        <v>198</v>
      </c>
      <c r="H356" s="6" t="s">
        <v>200</v>
      </c>
      <c r="I356" s="6" t="s">
        <v>201</v>
      </c>
      <c r="J356" s="6" t="s">
        <v>150</v>
      </c>
      <c r="K356" s="6" t="s">
        <v>166</v>
      </c>
      <c r="L356" s="6" t="s">
        <v>206</v>
      </c>
      <c r="M356" s="6">
        <v>1</v>
      </c>
      <c r="N356" s="7">
        <v>6750</v>
      </c>
      <c r="O356" s="7">
        <f t="shared" si="29"/>
        <v>6750</v>
      </c>
      <c r="P356" s="6" t="s">
        <v>27</v>
      </c>
      <c r="Q356" s="6" t="s">
        <v>460</v>
      </c>
      <c r="R356" s="4">
        <v>44177</v>
      </c>
      <c r="S356" s="6" t="s">
        <v>29</v>
      </c>
      <c r="T356" s="6" t="s">
        <v>65</v>
      </c>
    </row>
    <row r="357" spans="1:20" x14ac:dyDescent="0.35">
      <c r="A357" s="4">
        <v>44147</v>
      </c>
      <c r="B357" s="5">
        <f t="shared" si="25"/>
        <v>2020</v>
      </c>
      <c r="C357" s="5">
        <f t="shared" si="26"/>
        <v>11</v>
      </c>
      <c r="D357" s="5">
        <f t="shared" si="27"/>
        <v>12</v>
      </c>
      <c r="E357" s="5" t="str">
        <f t="shared" si="28"/>
        <v>November</v>
      </c>
      <c r="F357" s="6" t="s">
        <v>459</v>
      </c>
      <c r="G357" s="6" t="s">
        <v>198</v>
      </c>
      <c r="H357" s="6" t="s">
        <v>44</v>
      </c>
      <c r="I357" s="6" t="s">
        <v>149</v>
      </c>
      <c r="J357" s="6" t="s">
        <v>150</v>
      </c>
      <c r="K357" s="6" t="s">
        <v>151</v>
      </c>
      <c r="L357" s="6" t="s">
        <v>155</v>
      </c>
      <c r="M357" s="6">
        <v>2</v>
      </c>
      <c r="N357" s="7">
        <v>9150</v>
      </c>
      <c r="O357" s="7">
        <f t="shared" si="29"/>
        <v>18300</v>
      </c>
      <c r="P357" s="6" t="s">
        <v>27</v>
      </c>
      <c r="Q357" s="6" t="s">
        <v>460</v>
      </c>
      <c r="R357" s="4">
        <v>44177</v>
      </c>
      <c r="S357" s="6" t="s">
        <v>29</v>
      </c>
      <c r="T357" s="6" t="s">
        <v>65</v>
      </c>
    </row>
    <row r="358" spans="1:20" x14ac:dyDescent="0.35">
      <c r="A358" s="4">
        <v>44147</v>
      </c>
      <c r="B358" s="5">
        <f t="shared" si="25"/>
        <v>2020</v>
      </c>
      <c r="C358" s="5">
        <f t="shared" si="26"/>
        <v>11</v>
      </c>
      <c r="D358" s="5">
        <f t="shared" si="27"/>
        <v>12</v>
      </c>
      <c r="E358" s="5" t="str">
        <f t="shared" si="28"/>
        <v>November</v>
      </c>
      <c r="F358" s="6" t="s">
        <v>461</v>
      </c>
      <c r="G358" s="6" t="s">
        <v>462</v>
      </c>
      <c r="H358" s="6" t="s">
        <v>44</v>
      </c>
      <c r="I358" s="6" t="s">
        <v>149</v>
      </c>
      <c r="J358" s="6" t="s">
        <v>150</v>
      </c>
      <c r="K358" s="6" t="s">
        <v>151</v>
      </c>
      <c r="L358" s="6" t="s">
        <v>152</v>
      </c>
      <c r="M358" s="6">
        <v>3</v>
      </c>
      <c r="N358" s="7">
        <v>11200</v>
      </c>
      <c r="O358" s="7">
        <f t="shared" si="29"/>
        <v>33600</v>
      </c>
      <c r="P358" s="6" t="s">
        <v>27</v>
      </c>
      <c r="Q358" s="6" t="s">
        <v>97</v>
      </c>
      <c r="R358" s="4">
        <v>44177</v>
      </c>
      <c r="S358" s="6" t="s">
        <v>56</v>
      </c>
      <c r="T358" s="6" t="s">
        <v>65</v>
      </c>
    </row>
    <row r="359" spans="1:20" x14ac:dyDescent="0.35">
      <c r="A359" s="4">
        <v>44147</v>
      </c>
      <c r="B359" s="5">
        <f t="shared" si="25"/>
        <v>2020</v>
      </c>
      <c r="C359" s="5">
        <f t="shared" si="26"/>
        <v>11</v>
      </c>
      <c r="D359" s="5">
        <f t="shared" si="27"/>
        <v>12</v>
      </c>
      <c r="E359" s="5" t="str">
        <f t="shared" si="28"/>
        <v>November</v>
      </c>
      <c r="F359" s="6" t="s">
        <v>461</v>
      </c>
      <c r="G359" s="6" t="s">
        <v>462</v>
      </c>
      <c r="H359" s="6" t="s">
        <v>364</v>
      </c>
      <c r="I359" s="6" t="s">
        <v>365</v>
      </c>
      <c r="J359" s="6" t="s">
        <v>150</v>
      </c>
      <c r="K359" s="6" t="s">
        <v>366</v>
      </c>
      <c r="L359" s="6" t="s">
        <v>419</v>
      </c>
      <c r="M359" s="6">
        <v>2</v>
      </c>
      <c r="N359" s="7">
        <v>4200</v>
      </c>
      <c r="O359" s="7">
        <f t="shared" si="29"/>
        <v>8400</v>
      </c>
      <c r="P359" s="6" t="s">
        <v>27</v>
      </c>
      <c r="Q359" s="6" t="s">
        <v>97</v>
      </c>
      <c r="R359" s="4">
        <v>44177</v>
      </c>
      <c r="S359" s="6" t="s">
        <v>56</v>
      </c>
      <c r="T359" s="6" t="s">
        <v>65</v>
      </c>
    </row>
    <row r="360" spans="1:20" x14ac:dyDescent="0.35">
      <c r="A360" s="4">
        <v>44147</v>
      </c>
      <c r="B360" s="5">
        <f t="shared" si="25"/>
        <v>2020</v>
      </c>
      <c r="C360" s="5">
        <f t="shared" si="26"/>
        <v>11</v>
      </c>
      <c r="D360" s="5">
        <f t="shared" si="27"/>
        <v>12</v>
      </c>
      <c r="E360" s="5" t="str">
        <f t="shared" si="28"/>
        <v>November</v>
      </c>
      <c r="F360" s="6" t="s">
        <v>463</v>
      </c>
      <c r="G360" s="6" t="s">
        <v>237</v>
      </c>
      <c r="H360" s="6" t="s">
        <v>364</v>
      </c>
      <c r="I360" s="6" t="s">
        <v>365</v>
      </c>
      <c r="J360" s="6" t="s">
        <v>150</v>
      </c>
      <c r="K360" s="6" t="s">
        <v>366</v>
      </c>
      <c r="L360" s="6" t="s">
        <v>367</v>
      </c>
      <c r="M360" s="6">
        <v>2</v>
      </c>
      <c r="N360" s="7">
        <v>4200</v>
      </c>
      <c r="O360" s="7">
        <f t="shared" si="29"/>
        <v>8400</v>
      </c>
      <c r="P360" s="6" t="s">
        <v>27</v>
      </c>
      <c r="Q360" s="6" t="s">
        <v>228</v>
      </c>
      <c r="R360" s="4">
        <v>44177</v>
      </c>
      <c r="S360" s="6" t="s">
        <v>29</v>
      </c>
      <c r="T360" s="6" t="s">
        <v>65</v>
      </c>
    </row>
    <row r="361" spans="1:20" x14ac:dyDescent="0.35">
      <c r="A361" s="4">
        <v>44147</v>
      </c>
      <c r="B361" s="5">
        <f t="shared" si="25"/>
        <v>2020</v>
      </c>
      <c r="C361" s="5">
        <f t="shared" si="26"/>
        <v>11</v>
      </c>
      <c r="D361" s="5">
        <f t="shared" si="27"/>
        <v>12</v>
      </c>
      <c r="E361" s="5" t="str">
        <f t="shared" si="28"/>
        <v>November</v>
      </c>
      <c r="F361" s="6" t="s">
        <v>463</v>
      </c>
      <c r="G361" s="6" t="s">
        <v>237</v>
      </c>
      <c r="H361" s="6" t="s">
        <v>364</v>
      </c>
      <c r="I361" s="6" t="s">
        <v>365</v>
      </c>
      <c r="J361" s="6" t="s">
        <v>150</v>
      </c>
      <c r="K361" s="6" t="s">
        <v>366</v>
      </c>
      <c r="L361" s="6" t="s">
        <v>419</v>
      </c>
      <c r="M361" s="6">
        <v>1</v>
      </c>
      <c r="N361" s="7">
        <v>4200</v>
      </c>
      <c r="O361" s="7">
        <f t="shared" si="29"/>
        <v>4200</v>
      </c>
      <c r="P361" s="6" t="s">
        <v>27</v>
      </c>
      <c r="Q361" s="6" t="s">
        <v>228</v>
      </c>
      <c r="R361" s="4">
        <v>44177</v>
      </c>
      <c r="S361" s="6" t="s">
        <v>29</v>
      </c>
      <c r="T361" s="6" t="s">
        <v>65</v>
      </c>
    </row>
    <row r="362" spans="1:20" x14ac:dyDescent="0.35">
      <c r="A362" s="4">
        <v>44147</v>
      </c>
      <c r="B362" s="5">
        <f t="shared" si="25"/>
        <v>2020</v>
      </c>
      <c r="C362" s="5">
        <f t="shared" si="26"/>
        <v>11</v>
      </c>
      <c r="D362" s="5">
        <f t="shared" si="27"/>
        <v>12</v>
      </c>
      <c r="E362" s="5" t="str">
        <f t="shared" si="28"/>
        <v>November</v>
      </c>
      <c r="F362" s="6" t="s">
        <v>463</v>
      </c>
      <c r="G362" s="6" t="s">
        <v>237</v>
      </c>
      <c r="H362" s="6" t="s">
        <v>176</v>
      </c>
      <c r="I362" s="6" t="s">
        <v>177</v>
      </c>
      <c r="J362" s="6" t="s">
        <v>150</v>
      </c>
      <c r="K362" s="6" t="s">
        <v>157</v>
      </c>
      <c r="L362" s="6" t="s">
        <v>178</v>
      </c>
      <c r="M362" s="6">
        <v>1</v>
      </c>
      <c r="N362" s="7">
        <v>2000</v>
      </c>
      <c r="O362" s="7">
        <f t="shared" si="29"/>
        <v>2000</v>
      </c>
      <c r="P362" s="6" t="s">
        <v>27</v>
      </c>
      <c r="Q362" s="6" t="s">
        <v>228</v>
      </c>
      <c r="R362" s="4">
        <v>44177</v>
      </c>
      <c r="S362" s="6" t="s">
        <v>29</v>
      </c>
      <c r="T362" s="6" t="s">
        <v>65</v>
      </c>
    </row>
    <row r="363" spans="1:20" x14ac:dyDescent="0.35">
      <c r="A363" s="4">
        <v>44147</v>
      </c>
      <c r="B363" s="5">
        <f t="shared" si="25"/>
        <v>2020</v>
      </c>
      <c r="C363" s="5">
        <f t="shared" si="26"/>
        <v>11</v>
      </c>
      <c r="D363" s="5">
        <f t="shared" si="27"/>
        <v>12</v>
      </c>
      <c r="E363" s="5" t="str">
        <f t="shared" si="28"/>
        <v>November</v>
      </c>
      <c r="F363" s="6" t="s">
        <v>464</v>
      </c>
      <c r="G363" s="6" t="s">
        <v>264</v>
      </c>
      <c r="H363" s="6" t="s">
        <v>200</v>
      </c>
      <c r="I363" s="6" t="s">
        <v>201</v>
      </c>
      <c r="J363" s="6" t="s">
        <v>150</v>
      </c>
      <c r="K363" s="6" t="s">
        <v>166</v>
      </c>
      <c r="L363" s="6" t="s">
        <v>206</v>
      </c>
      <c r="M363" s="6">
        <v>1</v>
      </c>
      <c r="N363" s="7">
        <v>6750</v>
      </c>
      <c r="O363" s="7">
        <f t="shared" si="29"/>
        <v>6750</v>
      </c>
      <c r="P363" s="6" t="s">
        <v>27</v>
      </c>
      <c r="Q363" s="6" t="s">
        <v>265</v>
      </c>
      <c r="R363" s="4">
        <v>44177</v>
      </c>
      <c r="S363" s="6" t="s">
        <v>29</v>
      </c>
      <c r="T363" s="6" t="s">
        <v>65</v>
      </c>
    </row>
    <row r="364" spans="1:20" x14ac:dyDescent="0.35">
      <c r="A364" s="4">
        <v>44147</v>
      </c>
      <c r="B364" s="5">
        <f t="shared" si="25"/>
        <v>2020</v>
      </c>
      <c r="C364" s="5">
        <f t="shared" si="26"/>
        <v>11</v>
      </c>
      <c r="D364" s="5">
        <f t="shared" si="27"/>
        <v>12</v>
      </c>
      <c r="E364" s="5" t="str">
        <f t="shared" si="28"/>
        <v>November</v>
      </c>
      <c r="F364" s="6" t="s">
        <v>464</v>
      </c>
      <c r="G364" s="6" t="s">
        <v>264</v>
      </c>
      <c r="H364" s="6" t="s">
        <v>39</v>
      </c>
      <c r="I364" s="6" t="s">
        <v>172</v>
      </c>
      <c r="J364" s="6" t="s">
        <v>150</v>
      </c>
      <c r="K364" s="6" t="s">
        <v>166</v>
      </c>
      <c r="L364" s="6" t="s">
        <v>454</v>
      </c>
      <c r="M364" s="6">
        <v>1</v>
      </c>
      <c r="N364" s="7">
        <v>12400</v>
      </c>
      <c r="O364" s="7">
        <f t="shared" si="29"/>
        <v>12400</v>
      </c>
      <c r="P364" s="6" t="s">
        <v>27</v>
      </c>
      <c r="Q364" s="6" t="s">
        <v>265</v>
      </c>
      <c r="R364" s="4">
        <v>44177</v>
      </c>
      <c r="S364" s="6" t="s">
        <v>29</v>
      </c>
      <c r="T364" s="6" t="s">
        <v>65</v>
      </c>
    </row>
    <row r="365" spans="1:20" x14ac:dyDescent="0.35">
      <c r="A365" s="4">
        <v>44147</v>
      </c>
      <c r="B365" s="5">
        <f t="shared" si="25"/>
        <v>2020</v>
      </c>
      <c r="C365" s="5">
        <f t="shared" si="26"/>
        <v>11</v>
      </c>
      <c r="D365" s="5">
        <f t="shared" si="27"/>
        <v>12</v>
      </c>
      <c r="E365" s="5" t="str">
        <f t="shared" si="28"/>
        <v>November</v>
      </c>
      <c r="F365" s="6" t="s">
        <v>465</v>
      </c>
      <c r="G365" s="6" t="s">
        <v>466</v>
      </c>
      <c r="H365" s="6" t="s">
        <v>200</v>
      </c>
      <c r="I365" s="6" t="s">
        <v>201</v>
      </c>
      <c r="J365" s="6" t="s">
        <v>150</v>
      </c>
      <c r="K365" s="6" t="s">
        <v>166</v>
      </c>
      <c r="L365" s="6" t="s">
        <v>206</v>
      </c>
      <c r="M365" s="6">
        <v>1</v>
      </c>
      <c r="N365" s="7">
        <v>6750</v>
      </c>
      <c r="O365" s="7">
        <f t="shared" si="29"/>
        <v>6750</v>
      </c>
      <c r="P365" s="6" t="s">
        <v>27</v>
      </c>
      <c r="Q365" s="6" t="s">
        <v>110</v>
      </c>
      <c r="R365" s="4">
        <v>44177</v>
      </c>
      <c r="S365" s="6" t="s">
        <v>29</v>
      </c>
      <c r="T365" s="6" t="s">
        <v>65</v>
      </c>
    </row>
    <row r="366" spans="1:20" x14ac:dyDescent="0.35">
      <c r="A366" s="4">
        <v>44147</v>
      </c>
      <c r="B366" s="5">
        <f t="shared" si="25"/>
        <v>2020</v>
      </c>
      <c r="C366" s="5">
        <f t="shared" si="26"/>
        <v>11</v>
      </c>
      <c r="D366" s="5">
        <f t="shared" si="27"/>
        <v>12</v>
      </c>
      <c r="E366" s="5" t="str">
        <f t="shared" si="28"/>
        <v>November</v>
      </c>
      <c r="F366" s="6" t="s">
        <v>465</v>
      </c>
      <c r="G366" s="6" t="s">
        <v>466</v>
      </c>
      <c r="H366" s="6" t="s">
        <v>200</v>
      </c>
      <c r="I366" s="6" t="s">
        <v>201</v>
      </c>
      <c r="J366" s="6" t="s">
        <v>150</v>
      </c>
      <c r="K366" s="6" t="s">
        <v>166</v>
      </c>
      <c r="L366" s="6" t="s">
        <v>213</v>
      </c>
      <c r="M366" s="6">
        <v>0.5</v>
      </c>
      <c r="N366" s="7">
        <v>8500</v>
      </c>
      <c r="O366" s="7">
        <f t="shared" si="29"/>
        <v>4250</v>
      </c>
      <c r="P366" s="6" t="s">
        <v>27</v>
      </c>
      <c r="Q366" s="6" t="s">
        <v>110</v>
      </c>
      <c r="R366" s="4">
        <v>44177</v>
      </c>
      <c r="S366" s="6" t="s">
        <v>29</v>
      </c>
      <c r="T366" s="6" t="s">
        <v>65</v>
      </c>
    </row>
    <row r="367" spans="1:20" x14ac:dyDescent="0.35">
      <c r="A367" s="4">
        <v>44147</v>
      </c>
      <c r="B367" s="5">
        <f t="shared" si="25"/>
        <v>2020</v>
      </c>
      <c r="C367" s="5">
        <f t="shared" si="26"/>
        <v>11</v>
      </c>
      <c r="D367" s="5">
        <f t="shared" si="27"/>
        <v>12</v>
      </c>
      <c r="E367" s="5" t="str">
        <f t="shared" si="28"/>
        <v>November</v>
      </c>
      <c r="F367" s="6" t="s">
        <v>465</v>
      </c>
      <c r="G367" s="6" t="s">
        <v>466</v>
      </c>
      <c r="H367" s="6" t="s">
        <v>191</v>
      </c>
      <c r="I367" s="6" t="s">
        <v>192</v>
      </c>
      <c r="J367" s="6" t="s">
        <v>150</v>
      </c>
      <c r="K367" s="6" t="s">
        <v>151</v>
      </c>
      <c r="L367" s="6" t="s">
        <v>193</v>
      </c>
      <c r="M367" s="6">
        <v>0.5</v>
      </c>
      <c r="N367" s="7">
        <v>9050</v>
      </c>
      <c r="O367" s="7">
        <f t="shared" si="29"/>
        <v>4525</v>
      </c>
      <c r="P367" s="6" t="s">
        <v>27</v>
      </c>
      <c r="Q367" s="6" t="s">
        <v>110</v>
      </c>
      <c r="R367" s="4">
        <v>44177</v>
      </c>
      <c r="S367" s="6" t="s">
        <v>29</v>
      </c>
      <c r="T367" s="6" t="s">
        <v>65</v>
      </c>
    </row>
    <row r="368" spans="1:20" x14ac:dyDescent="0.35">
      <c r="A368" s="4">
        <v>44147</v>
      </c>
      <c r="B368" s="5">
        <f t="shared" si="25"/>
        <v>2020</v>
      </c>
      <c r="C368" s="5">
        <f t="shared" si="26"/>
        <v>11</v>
      </c>
      <c r="D368" s="5">
        <f t="shared" si="27"/>
        <v>12</v>
      </c>
      <c r="E368" s="5" t="str">
        <f t="shared" si="28"/>
        <v>November</v>
      </c>
      <c r="F368" s="6" t="s">
        <v>465</v>
      </c>
      <c r="G368" s="6" t="s">
        <v>466</v>
      </c>
      <c r="H368" s="6" t="s">
        <v>191</v>
      </c>
      <c r="I368" s="6" t="s">
        <v>192</v>
      </c>
      <c r="J368" s="6" t="s">
        <v>150</v>
      </c>
      <c r="K368" s="6" t="s">
        <v>151</v>
      </c>
      <c r="L368" s="6" t="s">
        <v>256</v>
      </c>
      <c r="M368" s="6">
        <v>0.5</v>
      </c>
      <c r="N368" s="7">
        <v>11150</v>
      </c>
      <c r="O368" s="7">
        <f t="shared" si="29"/>
        <v>5575</v>
      </c>
      <c r="P368" s="6" t="s">
        <v>27</v>
      </c>
      <c r="Q368" s="6" t="s">
        <v>110</v>
      </c>
      <c r="R368" s="4">
        <v>44177</v>
      </c>
      <c r="S368" s="6" t="s">
        <v>29</v>
      </c>
      <c r="T368" s="6" t="s">
        <v>65</v>
      </c>
    </row>
    <row r="369" spans="1:20" x14ac:dyDescent="0.35">
      <c r="A369" s="4">
        <v>44147</v>
      </c>
      <c r="B369" s="5">
        <f t="shared" si="25"/>
        <v>2020</v>
      </c>
      <c r="C369" s="5">
        <f t="shared" si="26"/>
        <v>11</v>
      </c>
      <c r="D369" s="5">
        <f t="shared" si="27"/>
        <v>12</v>
      </c>
      <c r="E369" s="5" t="str">
        <f t="shared" si="28"/>
        <v>November</v>
      </c>
      <c r="F369" s="6" t="s">
        <v>465</v>
      </c>
      <c r="G369" s="6" t="s">
        <v>466</v>
      </c>
      <c r="H369" s="6" t="s">
        <v>44</v>
      </c>
      <c r="I369" s="6" t="s">
        <v>156</v>
      </c>
      <c r="J369" s="6" t="s">
        <v>150</v>
      </c>
      <c r="K369" s="6" t="s">
        <v>157</v>
      </c>
      <c r="L369" s="6" t="s">
        <v>247</v>
      </c>
      <c r="M369" s="6">
        <v>1</v>
      </c>
      <c r="N369" s="7">
        <v>7050</v>
      </c>
      <c r="O369" s="7">
        <f t="shared" si="29"/>
        <v>7050</v>
      </c>
      <c r="P369" s="6" t="s">
        <v>27</v>
      </c>
      <c r="Q369" s="6" t="s">
        <v>110</v>
      </c>
      <c r="R369" s="4">
        <v>44177</v>
      </c>
      <c r="S369" s="6" t="s">
        <v>29</v>
      </c>
      <c r="T369" s="6" t="s">
        <v>65</v>
      </c>
    </row>
    <row r="370" spans="1:20" x14ac:dyDescent="0.35">
      <c r="A370" s="4">
        <v>44147</v>
      </c>
      <c r="B370" s="5">
        <f t="shared" si="25"/>
        <v>2020</v>
      </c>
      <c r="C370" s="5">
        <f t="shared" si="26"/>
        <v>11</v>
      </c>
      <c r="D370" s="5">
        <f t="shared" si="27"/>
        <v>12</v>
      </c>
      <c r="E370" s="5" t="str">
        <f t="shared" si="28"/>
        <v>November</v>
      </c>
      <c r="F370" s="6" t="s">
        <v>467</v>
      </c>
      <c r="G370" s="6" t="s">
        <v>148</v>
      </c>
      <c r="H370" s="6" t="s">
        <v>44</v>
      </c>
      <c r="I370" s="6" t="s">
        <v>149</v>
      </c>
      <c r="J370" s="6" t="s">
        <v>150</v>
      </c>
      <c r="K370" s="6" t="s">
        <v>151</v>
      </c>
      <c r="L370" s="6" t="s">
        <v>155</v>
      </c>
      <c r="M370" s="6">
        <v>2</v>
      </c>
      <c r="N370" s="7">
        <v>9150</v>
      </c>
      <c r="O370" s="7">
        <f t="shared" si="29"/>
        <v>18300</v>
      </c>
      <c r="P370" s="6" t="s">
        <v>27</v>
      </c>
      <c r="Q370" s="6" t="s">
        <v>153</v>
      </c>
      <c r="R370" s="4">
        <v>44177</v>
      </c>
      <c r="S370" s="6" t="s">
        <v>29</v>
      </c>
      <c r="T370" s="6" t="s">
        <v>65</v>
      </c>
    </row>
    <row r="371" spans="1:20" x14ac:dyDescent="0.35">
      <c r="A371" s="4">
        <v>44147</v>
      </c>
      <c r="B371" s="5">
        <f t="shared" si="25"/>
        <v>2020</v>
      </c>
      <c r="C371" s="5">
        <f t="shared" si="26"/>
        <v>11</v>
      </c>
      <c r="D371" s="5">
        <f t="shared" si="27"/>
        <v>12</v>
      </c>
      <c r="E371" s="5" t="str">
        <f t="shared" si="28"/>
        <v>November</v>
      </c>
      <c r="F371" s="6" t="s">
        <v>467</v>
      </c>
      <c r="G371" s="6" t="s">
        <v>148</v>
      </c>
      <c r="H371" s="6" t="s">
        <v>44</v>
      </c>
      <c r="I371" s="6" t="s">
        <v>156</v>
      </c>
      <c r="J371" s="6" t="s">
        <v>150</v>
      </c>
      <c r="K371" s="6" t="s">
        <v>157</v>
      </c>
      <c r="L371" s="6" t="s">
        <v>247</v>
      </c>
      <c r="M371" s="6">
        <v>1</v>
      </c>
      <c r="N371" s="7">
        <v>7050</v>
      </c>
      <c r="O371" s="7">
        <f t="shared" si="29"/>
        <v>7050</v>
      </c>
      <c r="P371" s="6" t="s">
        <v>27</v>
      </c>
      <c r="Q371" s="6" t="s">
        <v>153</v>
      </c>
      <c r="R371" s="4">
        <v>44177</v>
      </c>
      <c r="S371" s="6" t="s">
        <v>29</v>
      </c>
      <c r="T371" s="6" t="s">
        <v>36</v>
      </c>
    </row>
    <row r="372" spans="1:20" x14ac:dyDescent="0.35">
      <c r="A372" s="4">
        <v>44147</v>
      </c>
      <c r="B372" s="5">
        <f t="shared" si="25"/>
        <v>2020</v>
      </c>
      <c r="C372" s="5">
        <f t="shared" si="26"/>
        <v>11</v>
      </c>
      <c r="D372" s="5">
        <f t="shared" si="27"/>
        <v>12</v>
      </c>
      <c r="E372" s="5" t="str">
        <f t="shared" si="28"/>
        <v>November</v>
      </c>
      <c r="F372" s="6" t="s">
        <v>467</v>
      </c>
      <c r="G372" s="6" t="s">
        <v>148</v>
      </c>
      <c r="H372" s="6" t="s">
        <v>382</v>
      </c>
      <c r="I372" s="6" t="s">
        <v>383</v>
      </c>
      <c r="J372" s="6" t="s">
        <v>150</v>
      </c>
      <c r="K372" s="6" t="s">
        <v>157</v>
      </c>
      <c r="L372" s="6" t="s">
        <v>384</v>
      </c>
      <c r="M372" s="6">
        <v>2</v>
      </c>
      <c r="N372" s="7">
        <v>1550</v>
      </c>
      <c r="O372" s="7">
        <f t="shared" si="29"/>
        <v>3100</v>
      </c>
      <c r="P372" s="6" t="s">
        <v>27</v>
      </c>
      <c r="Q372" s="6" t="s">
        <v>153</v>
      </c>
      <c r="R372" s="4">
        <v>44177</v>
      </c>
      <c r="S372" s="6" t="s">
        <v>29</v>
      </c>
      <c r="T372" s="6" t="s">
        <v>36</v>
      </c>
    </row>
    <row r="373" spans="1:20" x14ac:dyDescent="0.35">
      <c r="A373" s="4">
        <v>44147</v>
      </c>
      <c r="B373" s="5">
        <f t="shared" si="25"/>
        <v>2020</v>
      </c>
      <c r="C373" s="5">
        <f t="shared" si="26"/>
        <v>11</v>
      </c>
      <c r="D373" s="5">
        <f t="shared" si="27"/>
        <v>12</v>
      </c>
      <c r="E373" s="5" t="str">
        <f t="shared" si="28"/>
        <v>November</v>
      </c>
      <c r="F373" s="6" t="s">
        <v>468</v>
      </c>
      <c r="G373" s="6" t="s">
        <v>404</v>
      </c>
      <c r="H373" s="6" t="s">
        <v>44</v>
      </c>
      <c r="I373" s="6" t="s">
        <v>156</v>
      </c>
      <c r="J373" s="6" t="s">
        <v>150</v>
      </c>
      <c r="K373" s="6" t="s">
        <v>157</v>
      </c>
      <c r="L373" s="6" t="s">
        <v>247</v>
      </c>
      <c r="M373" s="6">
        <v>10</v>
      </c>
      <c r="N373" s="7">
        <v>7050</v>
      </c>
      <c r="O373" s="7">
        <f t="shared" si="29"/>
        <v>70500</v>
      </c>
      <c r="P373" s="6" t="s">
        <v>27</v>
      </c>
      <c r="Q373" s="6" t="s">
        <v>87</v>
      </c>
      <c r="R373" s="4">
        <v>44177</v>
      </c>
      <c r="S373" s="6" t="s">
        <v>29</v>
      </c>
      <c r="T373" s="6" t="s">
        <v>36</v>
      </c>
    </row>
    <row r="374" spans="1:20" x14ac:dyDescent="0.35">
      <c r="A374" s="4">
        <v>44147</v>
      </c>
      <c r="B374" s="5">
        <f t="shared" si="25"/>
        <v>2020</v>
      </c>
      <c r="C374" s="5">
        <f t="shared" si="26"/>
        <v>11</v>
      </c>
      <c r="D374" s="5">
        <f t="shared" si="27"/>
        <v>12</v>
      </c>
      <c r="E374" s="5" t="str">
        <f t="shared" si="28"/>
        <v>November</v>
      </c>
      <c r="F374" s="6" t="s">
        <v>469</v>
      </c>
      <c r="G374" s="6" t="s">
        <v>160</v>
      </c>
      <c r="H374" s="6" t="s">
        <v>44</v>
      </c>
      <c r="I374" s="6" t="s">
        <v>149</v>
      </c>
      <c r="J374" s="6" t="s">
        <v>150</v>
      </c>
      <c r="K374" s="6" t="s">
        <v>151</v>
      </c>
      <c r="L374" s="6" t="s">
        <v>152</v>
      </c>
      <c r="M374" s="6">
        <v>2</v>
      </c>
      <c r="N374" s="7">
        <v>11200</v>
      </c>
      <c r="O374" s="7">
        <f t="shared" si="29"/>
        <v>22400</v>
      </c>
      <c r="P374" s="6" t="s">
        <v>27</v>
      </c>
      <c r="Q374" s="6" t="s">
        <v>61</v>
      </c>
      <c r="R374" s="4">
        <v>44177</v>
      </c>
      <c r="S374" s="6" t="s">
        <v>29</v>
      </c>
      <c r="T374" s="6" t="s">
        <v>30</v>
      </c>
    </row>
    <row r="375" spans="1:20" x14ac:dyDescent="0.35">
      <c r="A375" s="4">
        <v>44147</v>
      </c>
      <c r="B375" s="5">
        <f t="shared" si="25"/>
        <v>2020</v>
      </c>
      <c r="C375" s="5">
        <f t="shared" si="26"/>
        <v>11</v>
      </c>
      <c r="D375" s="5">
        <f t="shared" si="27"/>
        <v>12</v>
      </c>
      <c r="E375" s="5" t="str">
        <f t="shared" si="28"/>
        <v>November</v>
      </c>
      <c r="F375" s="6" t="s">
        <v>469</v>
      </c>
      <c r="G375" s="6" t="s">
        <v>160</v>
      </c>
      <c r="H375" s="6" t="s">
        <v>200</v>
      </c>
      <c r="I375" s="6" t="s">
        <v>201</v>
      </c>
      <c r="J375" s="6" t="s">
        <v>150</v>
      </c>
      <c r="K375" s="6" t="s">
        <v>166</v>
      </c>
      <c r="L375" s="6" t="s">
        <v>213</v>
      </c>
      <c r="M375" s="6">
        <v>2</v>
      </c>
      <c r="N375" s="7">
        <v>8500</v>
      </c>
      <c r="O375" s="7">
        <f t="shared" si="29"/>
        <v>17000</v>
      </c>
      <c r="P375" s="6" t="s">
        <v>27</v>
      </c>
      <c r="Q375" s="6" t="s">
        <v>61</v>
      </c>
      <c r="R375" s="4">
        <v>44177</v>
      </c>
      <c r="S375" s="6" t="s">
        <v>29</v>
      </c>
      <c r="T375" s="6" t="s">
        <v>30</v>
      </c>
    </row>
    <row r="376" spans="1:20" x14ac:dyDescent="0.35">
      <c r="A376" s="4">
        <v>44147</v>
      </c>
      <c r="B376" s="5">
        <f t="shared" si="25"/>
        <v>2020</v>
      </c>
      <c r="C376" s="5">
        <f t="shared" si="26"/>
        <v>11</v>
      </c>
      <c r="D376" s="5">
        <f t="shared" si="27"/>
        <v>12</v>
      </c>
      <c r="E376" s="5" t="str">
        <f t="shared" si="28"/>
        <v>November</v>
      </c>
      <c r="F376" s="6" t="s">
        <v>470</v>
      </c>
      <c r="G376" s="6" t="s">
        <v>254</v>
      </c>
      <c r="H376" s="6" t="s">
        <v>44</v>
      </c>
      <c r="I376" s="6" t="s">
        <v>156</v>
      </c>
      <c r="J376" s="6" t="s">
        <v>150</v>
      </c>
      <c r="K376" s="6" t="s">
        <v>157</v>
      </c>
      <c r="L376" s="6" t="s">
        <v>247</v>
      </c>
      <c r="M376" s="6">
        <v>15</v>
      </c>
      <c r="N376" s="7">
        <v>7050</v>
      </c>
      <c r="O376" s="7">
        <f t="shared" si="29"/>
        <v>105750</v>
      </c>
      <c r="P376" s="6" t="s">
        <v>27</v>
      </c>
      <c r="Q376" s="6" t="s">
        <v>255</v>
      </c>
      <c r="R376" s="4">
        <v>44177</v>
      </c>
      <c r="S376" s="6" t="s">
        <v>29</v>
      </c>
      <c r="T376" s="6" t="s">
        <v>36</v>
      </c>
    </row>
    <row r="377" spans="1:20" x14ac:dyDescent="0.35">
      <c r="A377" s="4">
        <v>44147</v>
      </c>
      <c r="B377" s="5">
        <f t="shared" si="25"/>
        <v>2020</v>
      </c>
      <c r="C377" s="5">
        <f t="shared" si="26"/>
        <v>11</v>
      </c>
      <c r="D377" s="5">
        <f t="shared" si="27"/>
        <v>12</v>
      </c>
      <c r="E377" s="5" t="str">
        <f t="shared" si="28"/>
        <v>November</v>
      </c>
      <c r="F377" s="6" t="s">
        <v>471</v>
      </c>
      <c r="G377" s="6" t="s">
        <v>254</v>
      </c>
      <c r="H377" s="6" t="s">
        <v>191</v>
      </c>
      <c r="I377" s="6" t="s">
        <v>192</v>
      </c>
      <c r="J377" s="6" t="s">
        <v>150</v>
      </c>
      <c r="K377" s="6" t="s">
        <v>151</v>
      </c>
      <c r="L377" s="6" t="s">
        <v>193</v>
      </c>
      <c r="M377" s="6">
        <v>5</v>
      </c>
      <c r="N377" s="7">
        <v>9050</v>
      </c>
      <c r="O377" s="7">
        <f t="shared" si="29"/>
        <v>45250</v>
      </c>
      <c r="P377" s="6" t="s">
        <v>27</v>
      </c>
      <c r="Q377" s="6" t="s">
        <v>255</v>
      </c>
      <c r="R377" s="4">
        <v>44177</v>
      </c>
      <c r="S377" s="6" t="s">
        <v>29</v>
      </c>
      <c r="T377" s="6" t="s">
        <v>36</v>
      </c>
    </row>
    <row r="378" spans="1:20" x14ac:dyDescent="0.35">
      <c r="A378" s="4">
        <v>44147</v>
      </c>
      <c r="B378" s="5">
        <f t="shared" si="25"/>
        <v>2020</v>
      </c>
      <c r="C378" s="5">
        <f t="shared" si="26"/>
        <v>11</v>
      </c>
      <c r="D378" s="5">
        <f t="shared" si="27"/>
        <v>12</v>
      </c>
      <c r="E378" s="5" t="str">
        <f t="shared" si="28"/>
        <v>November</v>
      </c>
      <c r="F378" s="6" t="s">
        <v>472</v>
      </c>
      <c r="G378" s="6" t="s">
        <v>254</v>
      </c>
      <c r="H378" s="6" t="s">
        <v>44</v>
      </c>
      <c r="I378" s="6" t="s">
        <v>156</v>
      </c>
      <c r="J378" s="6" t="s">
        <v>150</v>
      </c>
      <c r="K378" s="6" t="s">
        <v>157</v>
      </c>
      <c r="L378" s="6" t="s">
        <v>247</v>
      </c>
      <c r="M378" s="6">
        <v>10</v>
      </c>
      <c r="N378" s="7">
        <v>7050</v>
      </c>
      <c r="O378" s="7">
        <f t="shared" si="29"/>
        <v>70500</v>
      </c>
      <c r="P378" s="6" t="s">
        <v>27</v>
      </c>
      <c r="Q378" s="6" t="s">
        <v>255</v>
      </c>
      <c r="R378" s="4">
        <v>44177</v>
      </c>
      <c r="S378" s="6" t="s">
        <v>29</v>
      </c>
      <c r="T378" s="6" t="s">
        <v>36</v>
      </c>
    </row>
    <row r="379" spans="1:20" x14ac:dyDescent="0.35">
      <c r="A379" s="4">
        <v>44147</v>
      </c>
      <c r="B379" s="5">
        <f t="shared" si="25"/>
        <v>2020</v>
      </c>
      <c r="C379" s="5">
        <f t="shared" si="26"/>
        <v>11</v>
      </c>
      <c r="D379" s="5">
        <f t="shared" si="27"/>
        <v>12</v>
      </c>
      <c r="E379" s="5" t="str">
        <f t="shared" si="28"/>
        <v>November</v>
      </c>
      <c r="F379" s="6" t="s">
        <v>472</v>
      </c>
      <c r="G379" s="6" t="s">
        <v>254</v>
      </c>
      <c r="H379" s="6" t="s">
        <v>219</v>
      </c>
      <c r="I379" s="6" t="s">
        <v>220</v>
      </c>
      <c r="J379" s="6" t="s">
        <v>150</v>
      </c>
      <c r="K379" s="6" t="s">
        <v>221</v>
      </c>
      <c r="L379" s="6" t="s">
        <v>222</v>
      </c>
      <c r="M379" s="6">
        <v>5</v>
      </c>
      <c r="N379" s="7">
        <v>4200</v>
      </c>
      <c r="O379" s="7">
        <f t="shared" si="29"/>
        <v>21000</v>
      </c>
      <c r="P379" s="6" t="s">
        <v>27</v>
      </c>
      <c r="Q379" s="6" t="s">
        <v>255</v>
      </c>
      <c r="R379" s="4">
        <v>44177</v>
      </c>
      <c r="S379" s="6" t="s">
        <v>29</v>
      </c>
      <c r="T379" s="6" t="s">
        <v>36</v>
      </c>
    </row>
    <row r="380" spans="1:20" x14ac:dyDescent="0.35">
      <c r="A380" s="4">
        <v>44147</v>
      </c>
      <c r="B380" s="5">
        <f t="shared" si="25"/>
        <v>2020</v>
      </c>
      <c r="C380" s="5">
        <f t="shared" si="26"/>
        <v>11</v>
      </c>
      <c r="D380" s="5">
        <f t="shared" si="27"/>
        <v>12</v>
      </c>
      <c r="E380" s="5" t="str">
        <f t="shared" si="28"/>
        <v>November</v>
      </c>
      <c r="F380" s="6" t="s">
        <v>473</v>
      </c>
      <c r="G380" s="6" t="s">
        <v>474</v>
      </c>
      <c r="H380" s="6" t="s">
        <v>340</v>
      </c>
      <c r="I380" s="6" t="s">
        <v>341</v>
      </c>
      <c r="J380" s="6" t="s">
        <v>150</v>
      </c>
      <c r="K380" s="6" t="s">
        <v>242</v>
      </c>
      <c r="L380" s="6" t="s">
        <v>342</v>
      </c>
      <c r="M380" s="6">
        <v>1</v>
      </c>
      <c r="N380" s="7">
        <v>1500</v>
      </c>
      <c r="O380" s="7">
        <f t="shared" si="29"/>
        <v>1500</v>
      </c>
      <c r="P380" s="6" t="s">
        <v>27</v>
      </c>
      <c r="Q380" s="6" t="s">
        <v>343</v>
      </c>
      <c r="R380" s="4">
        <v>44177</v>
      </c>
      <c r="S380" s="6" t="s">
        <v>29</v>
      </c>
      <c r="T380" s="6" t="s">
        <v>65</v>
      </c>
    </row>
    <row r="381" spans="1:20" x14ac:dyDescent="0.35">
      <c r="A381" s="4">
        <v>44147</v>
      </c>
      <c r="B381" s="5">
        <f t="shared" si="25"/>
        <v>2020</v>
      </c>
      <c r="C381" s="5">
        <f t="shared" si="26"/>
        <v>11</v>
      </c>
      <c r="D381" s="5">
        <f t="shared" si="27"/>
        <v>12</v>
      </c>
      <c r="E381" s="5" t="str">
        <f t="shared" si="28"/>
        <v>November</v>
      </c>
      <c r="F381" s="6" t="s">
        <v>473</v>
      </c>
      <c r="G381" s="6" t="s">
        <v>474</v>
      </c>
      <c r="H381" s="6" t="s">
        <v>340</v>
      </c>
      <c r="I381" s="6" t="s">
        <v>341</v>
      </c>
      <c r="J381" s="6" t="s">
        <v>150</v>
      </c>
      <c r="K381" s="6" t="s">
        <v>242</v>
      </c>
      <c r="L381" s="6" t="s">
        <v>344</v>
      </c>
      <c r="M381" s="6">
        <v>1</v>
      </c>
      <c r="N381" s="6">
        <v>1</v>
      </c>
      <c r="O381" s="7">
        <f t="shared" si="29"/>
        <v>1</v>
      </c>
      <c r="P381" s="6" t="s">
        <v>27</v>
      </c>
      <c r="Q381" s="6" t="s">
        <v>343</v>
      </c>
      <c r="R381" s="4">
        <v>44177</v>
      </c>
      <c r="S381" s="6" t="s">
        <v>29</v>
      </c>
      <c r="T381" s="6" t="s">
        <v>65</v>
      </c>
    </row>
    <row r="382" spans="1:20" x14ac:dyDescent="0.35">
      <c r="A382" s="4">
        <v>44147</v>
      </c>
      <c r="B382" s="5">
        <f t="shared" si="25"/>
        <v>2020</v>
      </c>
      <c r="C382" s="5">
        <f t="shared" si="26"/>
        <v>11</v>
      </c>
      <c r="D382" s="5">
        <f t="shared" si="27"/>
        <v>12</v>
      </c>
      <c r="E382" s="5" t="str">
        <f t="shared" si="28"/>
        <v>November</v>
      </c>
      <c r="F382" s="6" t="s">
        <v>98</v>
      </c>
      <c r="G382" s="6" t="s">
        <v>99</v>
      </c>
      <c r="H382" s="6" t="s">
        <v>44</v>
      </c>
      <c r="I382" s="6" t="s">
        <v>149</v>
      </c>
      <c r="J382" s="6" t="s">
        <v>150</v>
      </c>
      <c r="K382" s="6" t="s">
        <v>151</v>
      </c>
      <c r="L382" s="6" t="s">
        <v>152</v>
      </c>
      <c r="M382" s="6">
        <v>1</v>
      </c>
      <c r="N382" s="7">
        <v>11200</v>
      </c>
      <c r="O382" s="7">
        <f t="shared" si="29"/>
        <v>11200</v>
      </c>
      <c r="P382" s="6" t="s">
        <v>27</v>
      </c>
      <c r="Q382" s="6" t="s">
        <v>102</v>
      </c>
      <c r="R382" s="4">
        <v>44177</v>
      </c>
      <c r="S382" s="6" t="s">
        <v>29</v>
      </c>
      <c r="T382" s="6" t="s">
        <v>65</v>
      </c>
    </row>
    <row r="383" spans="1:20" x14ac:dyDescent="0.35">
      <c r="A383" s="4">
        <v>44147</v>
      </c>
      <c r="B383" s="5">
        <f t="shared" si="25"/>
        <v>2020</v>
      </c>
      <c r="C383" s="5">
        <f t="shared" si="26"/>
        <v>11</v>
      </c>
      <c r="D383" s="5">
        <f t="shared" si="27"/>
        <v>12</v>
      </c>
      <c r="E383" s="5" t="str">
        <f t="shared" si="28"/>
        <v>November</v>
      </c>
      <c r="F383" s="6" t="s">
        <v>98</v>
      </c>
      <c r="G383" s="6" t="s">
        <v>99</v>
      </c>
      <c r="H383" s="6" t="s">
        <v>39</v>
      </c>
      <c r="I383" s="6" t="s">
        <v>172</v>
      </c>
      <c r="J383" s="6" t="s">
        <v>150</v>
      </c>
      <c r="K383" s="6" t="s">
        <v>166</v>
      </c>
      <c r="L383" s="6" t="s">
        <v>475</v>
      </c>
      <c r="M383" s="6">
        <v>1</v>
      </c>
      <c r="N383" s="7">
        <v>14700</v>
      </c>
      <c r="O383" s="7">
        <f t="shared" si="29"/>
        <v>14700</v>
      </c>
      <c r="P383" s="6" t="s">
        <v>27</v>
      </c>
      <c r="Q383" s="6" t="s">
        <v>102</v>
      </c>
      <c r="R383" s="4">
        <v>44177</v>
      </c>
      <c r="S383" s="6" t="s">
        <v>29</v>
      </c>
      <c r="T383" s="6" t="s">
        <v>65</v>
      </c>
    </row>
    <row r="384" spans="1:20" x14ac:dyDescent="0.35">
      <c r="A384" s="4">
        <v>44147</v>
      </c>
      <c r="B384" s="5">
        <f t="shared" si="25"/>
        <v>2020</v>
      </c>
      <c r="C384" s="5">
        <f t="shared" si="26"/>
        <v>11</v>
      </c>
      <c r="D384" s="5">
        <f t="shared" si="27"/>
        <v>12</v>
      </c>
      <c r="E384" s="5" t="str">
        <f t="shared" si="28"/>
        <v>November</v>
      </c>
      <c r="F384" s="6" t="s">
        <v>98</v>
      </c>
      <c r="G384" s="6" t="s">
        <v>99</v>
      </c>
      <c r="H384" s="6" t="s">
        <v>200</v>
      </c>
      <c r="I384" s="6" t="s">
        <v>201</v>
      </c>
      <c r="J384" s="6" t="s">
        <v>150</v>
      </c>
      <c r="K384" s="6" t="s">
        <v>166</v>
      </c>
      <c r="L384" s="6" t="s">
        <v>285</v>
      </c>
      <c r="M384" s="6">
        <v>0.5</v>
      </c>
      <c r="N384" s="7">
        <v>19170</v>
      </c>
      <c r="O384" s="7">
        <f t="shared" si="29"/>
        <v>9585</v>
      </c>
      <c r="P384" s="6" t="s">
        <v>27</v>
      </c>
      <c r="Q384" s="6" t="s">
        <v>102</v>
      </c>
      <c r="R384" s="4">
        <v>44177</v>
      </c>
      <c r="S384" s="6" t="s">
        <v>29</v>
      </c>
      <c r="T384" s="6" t="s">
        <v>65</v>
      </c>
    </row>
    <row r="385" spans="1:20" x14ac:dyDescent="0.35">
      <c r="A385" s="4">
        <v>44147</v>
      </c>
      <c r="B385" s="5">
        <f t="shared" si="25"/>
        <v>2020</v>
      </c>
      <c r="C385" s="5">
        <f t="shared" si="26"/>
        <v>11</v>
      </c>
      <c r="D385" s="5">
        <f t="shared" si="27"/>
        <v>12</v>
      </c>
      <c r="E385" s="5" t="str">
        <f t="shared" si="28"/>
        <v>November</v>
      </c>
      <c r="F385" s="6" t="s">
        <v>98</v>
      </c>
      <c r="G385" s="6" t="s">
        <v>99</v>
      </c>
      <c r="H385" s="6" t="s">
        <v>200</v>
      </c>
      <c r="I385" s="6" t="s">
        <v>201</v>
      </c>
      <c r="J385" s="6" t="s">
        <v>150</v>
      </c>
      <c r="K385" s="6" t="s">
        <v>166</v>
      </c>
      <c r="L385" s="6" t="s">
        <v>213</v>
      </c>
      <c r="M385" s="6">
        <v>1</v>
      </c>
      <c r="N385" s="7">
        <v>8500</v>
      </c>
      <c r="O385" s="7">
        <f t="shared" si="29"/>
        <v>8500</v>
      </c>
      <c r="P385" s="6" t="s">
        <v>27</v>
      </c>
      <c r="Q385" s="6" t="s">
        <v>102</v>
      </c>
      <c r="R385" s="4">
        <v>44177</v>
      </c>
      <c r="S385" s="6" t="s">
        <v>29</v>
      </c>
      <c r="T385" s="6" t="s">
        <v>65</v>
      </c>
    </row>
    <row r="386" spans="1:20" x14ac:dyDescent="0.35">
      <c r="A386" s="4">
        <v>44147</v>
      </c>
      <c r="B386" s="5">
        <f t="shared" ref="B386:B435" si="30">YEAR(A386)</f>
        <v>2020</v>
      </c>
      <c r="C386" s="5">
        <f t="shared" ref="C386:C435" si="31">MONTH(A386)</f>
        <v>11</v>
      </c>
      <c r="D386" s="5">
        <f t="shared" ref="D386:D435" si="32">DAY(A386)</f>
        <v>12</v>
      </c>
      <c r="E386" s="5" t="str">
        <f t="shared" ref="E386:E435" si="33">TEXT(A386,"MMMM")</f>
        <v>November</v>
      </c>
      <c r="F386" s="6" t="s">
        <v>98</v>
      </c>
      <c r="G386" s="6" t="s">
        <v>99</v>
      </c>
      <c r="H386" s="6" t="s">
        <v>200</v>
      </c>
      <c r="I386" s="6" t="s">
        <v>201</v>
      </c>
      <c r="J386" s="6" t="s">
        <v>150</v>
      </c>
      <c r="K386" s="6" t="s">
        <v>166</v>
      </c>
      <c r="L386" s="6" t="s">
        <v>206</v>
      </c>
      <c r="M386" s="6">
        <v>1</v>
      </c>
      <c r="N386" s="7">
        <v>6750</v>
      </c>
      <c r="O386" s="7">
        <f t="shared" ref="O386:O435" si="34">M386*N386</f>
        <v>6750</v>
      </c>
      <c r="P386" s="6" t="s">
        <v>27</v>
      </c>
      <c r="Q386" s="6" t="s">
        <v>102</v>
      </c>
      <c r="R386" s="4">
        <v>44177</v>
      </c>
      <c r="S386" s="6" t="s">
        <v>29</v>
      </c>
      <c r="T386" s="6" t="s">
        <v>36</v>
      </c>
    </row>
    <row r="387" spans="1:20" x14ac:dyDescent="0.35">
      <c r="A387" s="4">
        <v>44147</v>
      </c>
      <c r="B387" s="5">
        <f t="shared" si="30"/>
        <v>2020</v>
      </c>
      <c r="C387" s="5">
        <f t="shared" si="31"/>
        <v>11</v>
      </c>
      <c r="D387" s="5">
        <f t="shared" si="32"/>
        <v>12</v>
      </c>
      <c r="E387" s="5" t="str">
        <f t="shared" si="33"/>
        <v>November</v>
      </c>
      <c r="F387" s="6" t="s">
        <v>98</v>
      </c>
      <c r="G387" s="6" t="s">
        <v>99</v>
      </c>
      <c r="H387" s="6" t="s">
        <v>200</v>
      </c>
      <c r="I387" s="6" t="s">
        <v>286</v>
      </c>
      <c r="J387" s="6" t="s">
        <v>150</v>
      </c>
      <c r="K387" s="6" t="s">
        <v>166</v>
      </c>
      <c r="L387" s="6" t="s">
        <v>287</v>
      </c>
      <c r="M387" s="6">
        <v>0.5</v>
      </c>
      <c r="N387" s="7">
        <v>23680</v>
      </c>
      <c r="O387" s="7">
        <f t="shared" si="34"/>
        <v>11840</v>
      </c>
      <c r="P387" s="6" t="s">
        <v>27</v>
      </c>
      <c r="Q387" s="6" t="s">
        <v>102</v>
      </c>
      <c r="R387" s="4">
        <v>44177</v>
      </c>
      <c r="S387" s="6" t="s">
        <v>29</v>
      </c>
      <c r="T387" s="6" t="s">
        <v>36</v>
      </c>
    </row>
    <row r="388" spans="1:20" x14ac:dyDescent="0.35">
      <c r="A388" s="4">
        <v>44147</v>
      </c>
      <c r="B388" s="5">
        <f t="shared" si="30"/>
        <v>2020</v>
      </c>
      <c r="C388" s="5">
        <f t="shared" si="31"/>
        <v>11</v>
      </c>
      <c r="D388" s="5">
        <f t="shared" si="32"/>
        <v>12</v>
      </c>
      <c r="E388" s="5" t="str">
        <f t="shared" si="33"/>
        <v>November</v>
      </c>
      <c r="F388" s="6" t="s">
        <v>476</v>
      </c>
      <c r="G388" s="6" t="s">
        <v>477</v>
      </c>
      <c r="H388" s="6" t="s">
        <v>39</v>
      </c>
      <c r="I388" s="6" t="s">
        <v>172</v>
      </c>
      <c r="J388" s="6" t="s">
        <v>150</v>
      </c>
      <c r="K388" s="6" t="s">
        <v>166</v>
      </c>
      <c r="L388" s="6" t="s">
        <v>302</v>
      </c>
      <c r="M388" s="6">
        <v>2</v>
      </c>
      <c r="N388" s="7">
        <v>9100</v>
      </c>
      <c r="O388" s="7">
        <f t="shared" si="34"/>
        <v>18200</v>
      </c>
      <c r="P388" s="6" t="s">
        <v>27</v>
      </c>
      <c r="Q388" s="6" t="s">
        <v>478</v>
      </c>
      <c r="R388" s="4">
        <v>44177</v>
      </c>
      <c r="S388" s="6" t="s">
        <v>29</v>
      </c>
      <c r="T388" s="6" t="s">
        <v>36</v>
      </c>
    </row>
    <row r="389" spans="1:20" x14ac:dyDescent="0.35">
      <c r="A389" s="4">
        <v>44177</v>
      </c>
      <c r="B389" s="5">
        <f t="shared" si="30"/>
        <v>2020</v>
      </c>
      <c r="C389" s="5">
        <f t="shared" si="31"/>
        <v>12</v>
      </c>
      <c r="D389" s="5">
        <f t="shared" si="32"/>
        <v>12</v>
      </c>
      <c r="E389" s="5" t="str">
        <f t="shared" si="33"/>
        <v>December</v>
      </c>
      <c r="F389" s="6" t="s">
        <v>143</v>
      </c>
      <c r="G389" s="6" t="s">
        <v>144</v>
      </c>
      <c r="H389" s="6" t="s">
        <v>164</v>
      </c>
      <c r="I389" s="6" t="s">
        <v>165</v>
      </c>
      <c r="J389" s="6" t="s">
        <v>150</v>
      </c>
      <c r="K389" s="6" t="s">
        <v>166</v>
      </c>
      <c r="L389" s="6" t="s">
        <v>211</v>
      </c>
      <c r="M389" s="6">
        <v>1</v>
      </c>
      <c r="N389" s="7">
        <v>8500</v>
      </c>
      <c r="O389" s="7">
        <f t="shared" si="34"/>
        <v>8500</v>
      </c>
      <c r="P389" s="6" t="s">
        <v>27</v>
      </c>
      <c r="Q389" s="6" t="s">
        <v>145</v>
      </c>
      <c r="R389" s="4" t="s">
        <v>146</v>
      </c>
      <c r="S389" s="6" t="s">
        <v>85</v>
      </c>
      <c r="T389" s="6" t="s">
        <v>36</v>
      </c>
    </row>
    <row r="390" spans="1:20" x14ac:dyDescent="0.35">
      <c r="A390" s="4">
        <v>44177</v>
      </c>
      <c r="B390" s="5">
        <f t="shared" si="30"/>
        <v>2020</v>
      </c>
      <c r="C390" s="5">
        <f t="shared" si="31"/>
        <v>12</v>
      </c>
      <c r="D390" s="5">
        <f t="shared" si="32"/>
        <v>12</v>
      </c>
      <c r="E390" s="5" t="str">
        <f t="shared" si="33"/>
        <v>December</v>
      </c>
      <c r="F390" s="6" t="s">
        <v>143</v>
      </c>
      <c r="G390" s="6" t="s">
        <v>144</v>
      </c>
      <c r="H390" s="6" t="s">
        <v>164</v>
      </c>
      <c r="I390" s="6" t="s">
        <v>165</v>
      </c>
      <c r="J390" s="6" t="s">
        <v>150</v>
      </c>
      <c r="K390" s="6" t="s">
        <v>166</v>
      </c>
      <c r="L390" s="6" t="s">
        <v>167</v>
      </c>
      <c r="M390" s="6">
        <v>1</v>
      </c>
      <c r="N390" s="7">
        <v>7800</v>
      </c>
      <c r="O390" s="7">
        <f t="shared" si="34"/>
        <v>7800</v>
      </c>
      <c r="P390" s="6" t="s">
        <v>27</v>
      </c>
      <c r="Q390" s="6" t="s">
        <v>145</v>
      </c>
      <c r="R390" s="4" t="s">
        <v>146</v>
      </c>
      <c r="S390" s="6" t="s">
        <v>85</v>
      </c>
      <c r="T390" s="6" t="s">
        <v>36</v>
      </c>
    </row>
    <row r="391" spans="1:20" x14ac:dyDescent="0.35">
      <c r="A391" s="4">
        <v>44177</v>
      </c>
      <c r="B391" s="5">
        <f t="shared" si="30"/>
        <v>2020</v>
      </c>
      <c r="C391" s="5">
        <f t="shared" si="31"/>
        <v>12</v>
      </c>
      <c r="D391" s="5">
        <f t="shared" si="32"/>
        <v>12</v>
      </c>
      <c r="E391" s="5" t="str">
        <f t="shared" si="33"/>
        <v>December</v>
      </c>
      <c r="F391" s="6" t="s">
        <v>143</v>
      </c>
      <c r="G391" s="6" t="s">
        <v>144</v>
      </c>
      <c r="H391" s="6" t="s">
        <v>39</v>
      </c>
      <c r="I391" s="6" t="s">
        <v>268</v>
      </c>
      <c r="J391" s="6" t="s">
        <v>150</v>
      </c>
      <c r="K391" s="6" t="s">
        <v>166</v>
      </c>
      <c r="L391" s="6" t="s">
        <v>457</v>
      </c>
      <c r="M391" s="6">
        <v>3</v>
      </c>
      <c r="N391" s="7">
        <v>3750</v>
      </c>
      <c r="O391" s="7">
        <f t="shared" si="34"/>
        <v>11250</v>
      </c>
      <c r="P391" s="6" t="s">
        <v>27</v>
      </c>
      <c r="Q391" s="6" t="s">
        <v>145</v>
      </c>
      <c r="R391" s="4" t="s">
        <v>146</v>
      </c>
      <c r="S391" s="6" t="s">
        <v>85</v>
      </c>
      <c r="T391" s="6" t="s">
        <v>65</v>
      </c>
    </row>
    <row r="392" spans="1:20" x14ac:dyDescent="0.35">
      <c r="A392" s="4">
        <v>44177</v>
      </c>
      <c r="B392" s="5">
        <f t="shared" si="30"/>
        <v>2020</v>
      </c>
      <c r="C392" s="5">
        <f t="shared" si="31"/>
        <v>12</v>
      </c>
      <c r="D392" s="5">
        <f t="shared" si="32"/>
        <v>12</v>
      </c>
      <c r="E392" s="5" t="str">
        <f t="shared" si="33"/>
        <v>December</v>
      </c>
      <c r="F392" s="6" t="s">
        <v>143</v>
      </c>
      <c r="G392" s="6" t="s">
        <v>144</v>
      </c>
      <c r="H392" s="6" t="s">
        <v>340</v>
      </c>
      <c r="I392" s="6" t="s">
        <v>341</v>
      </c>
      <c r="J392" s="6" t="s">
        <v>150</v>
      </c>
      <c r="K392" s="6" t="s">
        <v>242</v>
      </c>
      <c r="L392" s="6" t="s">
        <v>344</v>
      </c>
      <c r="M392" s="6">
        <v>1</v>
      </c>
      <c r="N392" s="6">
        <v>1</v>
      </c>
      <c r="O392" s="7">
        <f t="shared" si="34"/>
        <v>1</v>
      </c>
      <c r="P392" s="6" t="s">
        <v>27</v>
      </c>
      <c r="Q392" s="6" t="s">
        <v>145</v>
      </c>
      <c r="R392" s="4" t="s">
        <v>146</v>
      </c>
      <c r="S392" s="6" t="s">
        <v>85</v>
      </c>
      <c r="T392" s="6" t="s">
        <v>65</v>
      </c>
    </row>
    <row r="393" spans="1:20" x14ac:dyDescent="0.35">
      <c r="A393" s="4">
        <v>44177</v>
      </c>
      <c r="B393" s="5">
        <f t="shared" si="30"/>
        <v>2020</v>
      </c>
      <c r="C393" s="5">
        <f t="shared" si="31"/>
        <v>12</v>
      </c>
      <c r="D393" s="5">
        <f t="shared" si="32"/>
        <v>12</v>
      </c>
      <c r="E393" s="5" t="str">
        <f t="shared" si="33"/>
        <v>December</v>
      </c>
      <c r="F393" s="6" t="s">
        <v>143</v>
      </c>
      <c r="G393" s="6" t="s">
        <v>144</v>
      </c>
      <c r="H393" s="6" t="s">
        <v>340</v>
      </c>
      <c r="I393" s="6" t="s">
        <v>341</v>
      </c>
      <c r="J393" s="6" t="s">
        <v>150</v>
      </c>
      <c r="K393" s="6" t="s">
        <v>242</v>
      </c>
      <c r="L393" s="6" t="s">
        <v>342</v>
      </c>
      <c r="M393" s="6">
        <v>2</v>
      </c>
      <c r="N393" s="7">
        <v>1500</v>
      </c>
      <c r="O393" s="7">
        <f t="shared" si="34"/>
        <v>3000</v>
      </c>
      <c r="P393" s="6" t="s">
        <v>27</v>
      </c>
      <c r="Q393" s="6" t="s">
        <v>145</v>
      </c>
      <c r="R393" s="4" t="s">
        <v>146</v>
      </c>
      <c r="S393" s="6" t="s">
        <v>85</v>
      </c>
      <c r="T393" s="6" t="s">
        <v>65</v>
      </c>
    </row>
    <row r="394" spans="1:20" x14ac:dyDescent="0.35">
      <c r="A394" s="4">
        <v>44177</v>
      </c>
      <c r="B394" s="5">
        <f t="shared" si="30"/>
        <v>2020</v>
      </c>
      <c r="C394" s="5">
        <f t="shared" si="31"/>
        <v>12</v>
      </c>
      <c r="D394" s="5">
        <f t="shared" si="32"/>
        <v>12</v>
      </c>
      <c r="E394" s="5" t="str">
        <f t="shared" si="33"/>
        <v>December</v>
      </c>
      <c r="F394" s="6" t="s">
        <v>479</v>
      </c>
      <c r="G394" s="6" t="s">
        <v>480</v>
      </c>
      <c r="H394" s="6" t="s">
        <v>44</v>
      </c>
      <c r="I394" s="6" t="s">
        <v>156</v>
      </c>
      <c r="J394" s="6" t="s">
        <v>150</v>
      </c>
      <c r="K394" s="6" t="s">
        <v>157</v>
      </c>
      <c r="L394" s="6" t="s">
        <v>247</v>
      </c>
      <c r="M394" s="6">
        <v>4</v>
      </c>
      <c r="N394" s="7">
        <v>7050</v>
      </c>
      <c r="O394" s="7">
        <f t="shared" si="34"/>
        <v>28200</v>
      </c>
      <c r="P394" s="6" t="s">
        <v>27</v>
      </c>
      <c r="Q394" s="6" t="s">
        <v>207</v>
      </c>
      <c r="R394" s="4" t="s">
        <v>146</v>
      </c>
      <c r="S394" s="6" t="s">
        <v>29</v>
      </c>
      <c r="T394" s="6" t="s">
        <v>30</v>
      </c>
    </row>
    <row r="395" spans="1:20" x14ac:dyDescent="0.35">
      <c r="A395" s="4">
        <v>44177</v>
      </c>
      <c r="B395" s="5">
        <f t="shared" si="30"/>
        <v>2020</v>
      </c>
      <c r="C395" s="5">
        <f t="shared" si="31"/>
        <v>12</v>
      </c>
      <c r="D395" s="5">
        <f t="shared" si="32"/>
        <v>12</v>
      </c>
      <c r="E395" s="5" t="str">
        <f t="shared" si="33"/>
        <v>December</v>
      </c>
      <c r="F395" s="6" t="s">
        <v>479</v>
      </c>
      <c r="G395" s="6" t="s">
        <v>480</v>
      </c>
      <c r="H395" s="6" t="s">
        <v>39</v>
      </c>
      <c r="I395" s="6" t="s">
        <v>268</v>
      </c>
      <c r="J395" s="6" t="s">
        <v>150</v>
      </c>
      <c r="K395" s="6" t="s">
        <v>166</v>
      </c>
      <c r="L395" s="6" t="s">
        <v>457</v>
      </c>
      <c r="M395" s="6">
        <v>4</v>
      </c>
      <c r="N395" s="7">
        <v>3750</v>
      </c>
      <c r="O395" s="7">
        <f t="shared" si="34"/>
        <v>15000</v>
      </c>
      <c r="P395" s="6" t="s">
        <v>27</v>
      </c>
      <c r="Q395" s="6" t="s">
        <v>207</v>
      </c>
      <c r="R395" s="4" t="s">
        <v>146</v>
      </c>
      <c r="S395" s="6" t="s">
        <v>29</v>
      </c>
      <c r="T395" s="6" t="s">
        <v>30</v>
      </c>
    </row>
    <row r="396" spans="1:20" x14ac:dyDescent="0.35">
      <c r="A396" s="4">
        <v>44177</v>
      </c>
      <c r="B396" s="5">
        <f t="shared" si="30"/>
        <v>2020</v>
      </c>
      <c r="C396" s="5">
        <f t="shared" si="31"/>
        <v>12</v>
      </c>
      <c r="D396" s="5">
        <f t="shared" si="32"/>
        <v>12</v>
      </c>
      <c r="E396" s="5" t="str">
        <f t="shared" si="33"/>
        <v>December</v>
      </c>
      <c r="F396" s="6" t="s">
        <v>481</v>
      </c>
      <c r="G396" s="6" t="s">
        <v>482</v>
      </c>
      <c r="H396" s="6" t="s">
        <v>340</v>
      </c>
      <c r="I396" s="6" t="s">
        <v>341</v>
      </c>
      <c r="J396" s="6" t="s">
        <v>150</v>
      </c>
      <c r="K396" s="6" t="s">
        <v>242</v>
      </c>
      <c r="L396" s="6" t="s">
        <v>342</v>
      </c>
      <c r="M396" s="6">
        <v>1</v>
      </c>
      <c r="N396" s="7">
        <v>1500</v>
      </c>
      <c r="O396" s="7">
        <f t="shared" si="34"/>
        <v>1500</v>
      </c>
      <c r="P396" s="6" t="s">
        <v>27</v>
      </c>
      <c r="Q396" s="6" t="s">
        <v>417</v>
      </c>
      <c r="R396" s="4" t="s">
        <v>146</v>
      </c>
      <c r="S396" s="6" t="s">
        <v>29</v>
      </c>
      <c r="T396" s="6" t="s">
        <v>65</v>
      </c>
    </row>
    <row r="397" spans="1:20" x14ac:dyDescent="0.35">
      <c r="A397" s="4">
        <v>44177</v>
      </c>
      <c r="B397" s="5">
        <f t="shared" si="30"/>
        <v>2020</v>
      </c>
      <c r="C397" s="5">
        <f t="shared" si="31"/>
        <v>12</v>
      </c>
      <c r="D397" s="5">
        <f t="shared" si="32"/>
        <v>12</v>
      </c>
      <c r="E397" s="5" t="str">
        <f t="shared" si="33"/>
        <v>December</v>
      </c>
      <c r="F397" s="6" t="s">
        <v>481</v>
      </c>
      <c r="G397" s="6" t="s">
        <v>482</v>
      </c>
      <c r="H397" s="6" t="s">
        <v>340</v>
      </c>
      <c r="I397" s="6" t="s">
        <v>341</v>
      </c>
      <c r="J397" s="6" t="s">
        <v>150</v>
      </c>
      <c r="K397" s="6" t="s">
        <v>242</v>
      </c>
      <c r="L397" s="6" t="s">
        <v>344</v>
      </c>
      <c r="M397" s="6">
        <v>1</v>
      </c>
      <c r="N397" s="6">
        <v>1</v>
      </c>
      <c r="O397" s="7">
        <f t="shared" si="34"/>
        <v>1</v>
      </c>
      <c r="P397" s="6" t="s">
        <v>27</v>
      </c>
      <c r="Q397" s="6" t="s">
        <v>417</v>
      </c>
      <c r="R397" s="4" t="s">
        <v>146</v>
      </c>
      <c r="S397" s="6" t="s">
        <v>29</v>
      </c>
      <c r="T397" s="6" t="s">
        <v>65</v>
      </c>
    </row>
    <row r="398" spans="1:20" x14ac:dyDescent="0.35">
      <c r="A398" s="4">
        <v>44177</v>
      </c>
      <c r="B398" s="5">
        <f t="shared" si="30"/>
        <v>2020</v>
      </c>
      <c r="C398" s="5">
        <f t="shared" si="31"/>
        <v>12</v>
      </c>
      <c r="D398" s="5">
        <f t="shared" si="32"/>
        <v>12</v>
      </c>
      <c r="E398" s="5" t="str">
        <f t="shared" si="33"/>
        <v>December</v>
      </c>
      <c r="F398" s="6" t="s">
        <v>483</v>
      </c>
      <c r="G398" s="6" t="s">
        <v>484</v>
      </c>
      <c r="H398" s="6" t="s">
        <v>191</v>
      </c>
      <c r="I398" s="6" t="s">
        <v>192</v>
      </c>
      <c r="J398" s="6" t="s">
        <v>150</v>
      </c>
      <c r="K398" s="6" t="s">
        <v>151</v>
      </c>
      <c r="L398" s="6" t="s">
        <v>256</v>
      </c>
      <c r="M398" s="6">
        <v>1</v>
      </c>
      <c r="N398" s="7">
        <v>11150</v>
      </c>
      <c r="O398" s="7">
        <f t="shared" si="34"/>
        <v>11150</v>
      </c>
      <c r="P398" s="6" t="s">
        <v>27</v>
      </c>
      <c r="Q398" s="6" t="s">
        <v>485</v>
      </c>
      <c r="R398" s="4" t="s">
        <v>146</v>
      </c>
      <c r="S398" s="6" t="s">
        <v>29</v>
      </c>
      <c r="T398" s="6" t="s">
        <v>65</v>
      </c>
    </row>
    <row r="399" spans="1:20" x14ac:dyDescent="0.35">
      <c r="A399" s="4">
        <v>44177</v>
      </c>
      <c r="B399" s="5">
        <f t="shared" si="30"/>
        <v>2020</v>
      </c>
      <c r="C399" s="5">
        <f t="shared" si="31"/>
        <v>12</v>
      </c>
      <c r="D399" s="5">
        <f t="shared" si="32"/>
        <v>12</v>
      </c>
      <c r="E399" s="5" t="str">
        <f t="shared" si="33"/>
        <v>December</v>
      </c>
      <c r="F399" s="6" t="s">
        <v>483</v>
      </c>
      <c r="G399" s="6" t="s">
        <v>484</v>
      </c>
      <c r="H399" s="6" t="s">
        <v>44</v>
      </c>
      <c r="I399" s="6" t="s">
        <v>149</v>
      </c>
      <c r="J399" s="6" t="s">
        <v>150</v>
      </c>
      <c r="K399" s="6" t="s">
        <v>151</v>
      </c>
      <c r="L399" s="6" t="s">
        <v>155</v>
      </c>
      <c r="M399" s="6">
        <v>1</v>
      </c>
      <c r="N399" s="7">
        <v>9150</v>
      </c>
      <c r="O399" s="7">
        <f t="shared" si="34"/>
        <v>9150</v>
      </c>
      <c r="P399" s="6" t="s">
        <v>27</v>
      </c>
      <c r="Q399" s="6" t="s">
        <v>485</v>
      </c>
      <c r="R399" s="4" t="s">
        <v>146</v>
      </c>
      <c r="S399" s="6" t="s">
        <v>29</v>
      </c>
      <c r="T399" s="6" t="s">
        <v>65</v>
      </c>
    </row>
    <row r="400" spans="1:20" x14ac:dyDescent="0.35">
      <c r="A400" s="4">
        <v>44177</v>
      </c>
      <c r="B400" s="5">
        <f t="shared" si="30"/>
        <v>2020</v>
      </c>
      <c r="C400" s="5">
        <f t="shared" si="31"/>
        <v>12</v>
      </c>
      <c r="D400" s="5">
        <f t="shared" si="32"/>
        <v>12</v>
      </c>
      <c r="E400" s="5" t="str">
        <f t="shared" si="33"/>
        <v>December</v>
      </c>
      <c r="F400" s="6" t="s">
        <v>483</v>
      </c>
      <c r="G400" s="6" t="s">
        <v>484</v>
      </c>
      <c r="H400" s="6" t="s">
        <v>39</v>
      </c>
      <c r="I400" s="6" t="s">
        <v>172</v>
      </c>
      <c r="J400" s="6" t="s">
        <v>150</v>
      </c>
      <c r="K400" s="6" t="s">
        <v>166</v>
      </c>
      <c r="L400" s="6" t="s">
        <v>173</v>
      </c>
      <c r="M400" s="6">
        <v>1</v>
      </c>
      <c r="N400" s="7">
        <v>1860</v>
      </c>
      <c r="O400" s="7">
        <f t="shared" si="34"/>
        <v>1860</v>
      </c>
      <c r="P400" s="6" t="s">
        <v>27</v>
      </c>
      <c r="Q400" s="6" t="s">
        <v>485</v>
      </c>
      <c r="R400" s="4" t="s">
        <v>146</v>
      </c>
      <c r="S400" s="6" t="s">
        <v>29</v>
      </c>
      <c r="T400" s="6" t="s">
        <v>65</v>
      </c>
    </row>
    <row r="401" spans="1:20" x14ac:dyDescent="0.35">
      <c r="A401" s="4">
        <v>44177</v>
      </c>
      <c r="B401" s="5">
        <f t="shared" si="30"/>
        <v>2020</v>
      </c>
      <c r="C401" s="5">
        <f t="shared" si="31"/>
        <v>12</v>
      </c>
      <c r="D401" s="5">
        <f t="shared" si="32"/>
        <v>12</v>
      </c>
      <c r="E401" s="5" t="str">
        <f t="shared" si="33"/>
        <v>December</v>
      </c>
      <c r="F401" s="6" t="s">
        <v>483</v>
      </c>
      <c r="G401" s="6" t="s">
        <v>484</v>
      </c>
      <c r="H401" s="6" t="s">
        <v>39</v>
      </c>
      <c r="I401" s="6" t="s">
        <v>268</v>
      </c>
      <c r="J401" s="6" t="s">
        <v>150</v>
      </c>
      <c r="K401" s="6" t="s">
        <v>166</v>
      </c>
      <c r="L401" s="6" t="s">
        <v>457</v>
      </c>
      <c r="M401" s="6">
        <v>2</v>
      </c>
      <c r="N401" s="7">
        <v>3750</v>
      </c>
      <c r="O401" s="7">
        <f t="shared" si="34"/>
        <v>7500</v>
      </c>
      <c r="P401" s="6" t="s">
        <v>27</v>
      </c>
      <c r="Q401" s="6" t="s">
        <v>485</v>
      </c>
      <c r="R401" s="4" t="s">
        <v>146</v>
      </c>
      <c r="S401" s="6" t="s">
        <v>29</v>
      </c>
      <c r="T401" s="6" t="s">
        <v>65</v>
      </c>
    </row>
    <row r="402" spans="1:20" x14ac:dyDescent="0.35">
      <c r="A402" s="4">
        <v>44177</v>
      </c>
      <c r="B402" s="5">
        <f t="shared" si="30"/>
        <v>2020</v>
      </c>
      <c r="C402" s="5">
        <f t="shared" si="31"/>
        <v>12</v>
      </c>
      <c r="D402" s="5">
        <f t="shared" si="32"/>
        <v>12</v>
      </c>
      <c r="E402" s="5" t="str">
        <f t="shared" si="33"/>
        <v>December</v>
      </c>
      <c r="F402" s="6" t="s">
        <v>483</v>
      </c>
      <c r="G402" s="6" t="s">
        <v>484</v>
      </c>
      <c r="H402" s="6" t="s">
        <v>219</v>
      </c>
      <c r="I402" s="6" t="s">
        <v>220</v>
      </c>
      <c r="J402" s="6" t="s">
        <v>150</v>
      </c>
      <c r="K402" s="6" t="s">
        <v>221</v>
      </c>
      <c r="L402" s="6" t="s">
        <v>284</v>
      </c>
      <c r="M402" s="6">
        <v>2</v>
      </c>
      <c r="N402" s="7">
        <v>2780</v>
      </c>
      <c r="O402" s="7">
        <f t="shared" si="34"/>
        <v>5560</v>
      </c>
      <c r="P402" s="6" t="s">
        <v>27</v>
      </c>
      <c r="Q402" s="6" t="s">
        <v>485</v>
      </c>
      <c r="R402" s="4" t="s">
        <v>146</v>
      </c>
      <c r="S402" s="6" t="s">
        <v>29</v>
      </c>
      <c r="T402" s="6" t="s">
        <v>65</v>
      </c>
    </row>
    <row r="403" spans="1:20" x14ac:dyDescent="0.35">
      <c r="A403" s="4">
        <v>44147</v>
      </c>
      <c r="B403" s="5">
        <f t="shared" si="30"/>
        <v>2020</v>
      </c>
      <c r="C403" s="5">
        <f t="shared" si="31"/>
        <v>11</v>
      </c>
      <c r="D403" s="5">
        <f t="shared" si="32"/>
        <v>12</v>
      </c>
      <c r="E403" s="5" t="str">
        <f t="shared" si="33"/>
        <v>November</v>
      </c>
      <c r="F403" s="6" t="s">
        <v>486</v>
      </c>
      <c r="G403" s="6" t="s">
        <v>487</v>
      </c>
      <c r="H403" s="6" t="s">
        <v>340</v>
      </c>
      <c r="I403" s="6" t="s">
        <v>341</v>
      </c>
      <c r="J403" s="6" t="s">
        <v>150</v>
      </c>
      <c r="K403" s="6" t="s">
        <v>242</v>
      </c>
      <c r="L403" s="6" t="s">
        <v>344</v>
      </c>
      <c r="M403" s="6">
        <v>1</v>
      </c>
      <c r="N403" s="6">
        <v>1</v>
      </c>
      <c r="O403" s="7">
        <f t="shared" si="34"/>
        <v>1</v>
      </c>
      <c r="P403" s="6" t="s">
        <v>27</v>
      </c>
      <c r="Q403" s="6" t="s">
        <v>360</v>
      </c>
      <c r="R403" s="4" t="s">
        <v>146</v>
      </c>
      <c r="S403" s="6" t="s">
        <v>85</v>
      </c>
      <c r="T403" s="6" t="s">
        <v>65</v>
      </c>
    </row>
    <row r="404" spans="1:20" x14ac:dyDescent="0.35">
      <c r="A404" s="4">
        <v>44147</v>
      </c>
      <c r="B404" s="5">
        <f t="shared" si="30"/>
        <v>2020</v>
      </c>
      <c r="C404" s="5">
        <f t="shared" si="31"/>
        <v>11</v>
      </c>
      <c r="D404" s="5">
        <f t="shared" si="32"/>
        <v>12</v>
      </c>
      <c r="E404" s="5" t="str">
        <f t="shared" si="33"/>
        <v>November</v>
      </c>
      <c r="F404" s="6" t="s">
        <v>486</v>
      </c>
      <c r="G404" s="6" t="s">
        <v>487</v>
      </c>
      <c r="H404" s="6" t="s">
        <v>340</v>
      </c>
      <c r="I404" s="6" t="s">
        <v>341</v>
      </c>
      <c r="J404" s="6" t="s">
        <v>150</v>
      </c>
      <c r="K404" s="6" t="s">
        <v>242</v>
      </c>
      <c r="L404" s="6" t="s">
        <v>342</v>
      </c>
      <c r="M404" s="6">
        <v>1</v>
      </c>
      <c r="N404" s="7">
        <v>1500</v>
      </c>
      <c r="O404" s="7">
        <f t="shared" si="34"/>
        <v>1500</v>
      </c>
      <c r="P404" s="6" t="s">
        <v>27</v>
      </c>
      <c r="Q404" s="6" t="s">
        <v>360</v>
      </c>
      <c r="R404" s="4" t="s">
        <v>146</v>
      </c>
      <c r="S404" s="6" t="s">
        <v>85</v>
      </c>
      <c r="T404" s="6" t="s">
        <v>65</v>
      </c>
    </row>
    <row r="405" spans="1:20" x14ac:dyDescent="0.35">
      <c r="A405" s="4">
        <v>43933</v>
      </c>
      <c r="B405" s="5">
        <f t="shared" si="30"/>
        <v>2020</v>
      </c>
      <c r="C405" s="5">
        <f t="shared" si="31"/>
        <v>4</v>
      </c>
      <c r="D405" s="5">
        <f t="shared" si="32"/>
        <v>12</v>
      </c>
      <c r="E405" s="5" t="str">
        <f t="shared" si="33"/>
        <v>April</v>
      </c>
      <c r="F405" s="6" t="s">
        <v>488</v>
      </c>
      <c r="G405" s="6" t="s">
        <v>489</v>
      </c>
      <c r="H405" s="6" t="s">
        <v>219</v>
      </c>
      <c r="I405" s="6" t="s">
        <v>220</v>
      </c>
      <c r="J405" s="6" t="s">
        <v>150</v>
      </c>
      <c r="K405" s="6" t="s">
        <v>221</v>
      </c>
      <c r="L405" s="6" t="s">
        <v>284</v>
      </c>
      <c r="M405" s="6">
        <v>30</v>
      </c>
      <c r="N405" s="7">
        <v>2780</v>
      </c>
      <c r="O405" s="7">
        <f t="shared" si="34"/>
        <v>83400</v>
      </c>
      <c r="P405" s="6" t="s">
        <v>27</v>
      </c>
      <c r="Q405" s="6" t="s">
        <v>490</v>
      </c>
      <c r="R405" s="4" t="s">
        <v>146</v>
      </c>
      <c r="S405" s="6" t="s">
        <v>85</v>
      </c>
      <c r="T405" s="6" t="s">
        <v>30</v>
      </c>
    </row>
    <row r="406" spans="1:20" x14ac:dyDescent="0.35">
      <c r="A406" s="4">
        <v>43933</v>
      </c>
      <c r="B406" s="5">
        <f t="shared" si="30"/>
        <v>2020</v>
      </c>
      <c r="C406" s="5">
        <f t="shared" si="31"/>
        <v>4</v>
      </c>
      <c r="D406" s="5">
        <f t="shared" si="32"/>
        <v>12</v>
      </c>
      <c r="E406" s="5" t="str">
        <f t="shared" si="33"/>
        <v>April</v>
      </c>
      <c r="F406" s="6" t="s">
        <v>491</v>
      </c>
      <c r="G406" s="6" t="s">
        <v>489</v>
      </c>
      <c r="H406" s="6" t="s">
        <v>219</v>
      </c>
      <c r="I406" s="6" t="s">
        <v>220</v>
      </c>
      <c r="J406" s="6" t="s">
        <v>150</v>
      </c>
      <c r="K406" s="6" t="s">
        <v>221</v>
      </c>
      <c r="L406" s="6" t="s">
        <v>307</v>
      </c>
      <c r="M406" s="6">
        <v>15</v>
      </c>
      <c r="N406" s="7">
        <v>2080</v>
      </c>
      <c r="O406" s="7">
        <f t="shared" si="34"/>
        <v>31200</v>
      </c>
      <c r="P406" s="6" t="s">
        <v>27</v>
      </c>
      <c r="Q406" s="6" t="s">
        <v>490</v>
      </c>
      <c r="R406" s="4" t="s">
        <v>146</v>
      </c>
      <c r="S406" s="6" t="s">
        <v>85</v>
      </c>
      <c r="T406" s="6" t="s">
        <v>30</v>
      </c>
    </row>
    <row r="407" spans="1:20" x14ac:dyDescent="0.35">
      <c r="A407" s="4">
        <v>44177</v>
      </c>
      <c r="B407" s="5">
        <f t="shared" si="30"/>
        <v>2020</v>
      </c>
      <c r="C407" s="5">
        <f t="shared" si="31"/>
        <v>12</v>
      </c>
      <c r="D407" s="5">
        <f t="shared" si="32"/>
        <v>12</v>
      </c>
      <c r="E407" s="5" t="str">
        <f t="shared" si="33"/>
        <v>December</v>
      </c>
      <c r="F407" s="6" t="s">
        <v>492</v>
      </c>
      <c r="G407" s="6" t="s">
        <v>493</v>
      </c>
      <c r="H407" s="6" t="s">
        <v>44</v>
      </c>
      <c r="I407" s="6" t="s">
        <v>149</v>
      </c>
      <c r="J407" s="6" t="s">
        <v>150</v>
      </c>
      <c r="K407" s="6" t="s">
        <v>151</v>
      </c>
      <c r="L407" s="6" t="s">
        <v>155</v>
      </c>
      <c r="M407" s="6">
        <v>1</v>
      </c>
      <c r="N407" s="7">
        <v>9150</v>
      </c>
      <c r="O407" s="7">
        <f t="shared" si="34"/>
        <v>9150</v>
      </c>
      <c r="P407" s="6" t="s">
        <v>27</v>
      </c>
      <c r="Q407" s="6" t="s">
        <v>396</v>
      </c>
      <c r="R407" s="4" t="s">
        <v>146</v>
      </c>
      <c r="S407" s="6" t="s">
        <v>29</v>
      </c>
      <c r="T407" s="6" t="s">
        <v>36</v>
      </c>
    </row>
    <row r="408" spans="1:20" x14ac:dyDescent="0.35">
      <c r="A408" s="4">
        <v>44177</v>
      </c>
      <c r="B408" s="5">
        <f t="shared" si="30"/>
        <v>2020</v>
      </c>
      <c r="C408" s="5">
        <f t="shared" si="31"/>
        <v>12</v>
      </c>
      <c r="D408" s="5">
        <f t="shared" si="32"/>
        <v>12</v>
      </c>
      <c r="E408" s="5" t="str">
        <f t="shared" si="33"/>
        <v>December</v>
      </c>
      <c r="F408" s="6" t="s">
        <v>492</v>
      </c>
      <c r="G408" s="6" t="s">
        <v>493</v>
      </c>
      <c r="H408" s="6" t="s">
        <v>168</v>
      </c>
      <c r="I408" s="6" t="s">
        <v>169</v>
      </c>
      <c r="J408" s="6" t="s">
        <v>150</v>
      </c>
      <c r="K408" s="6" t="s">
        <v>170</v>
      </c>
      <c r="L408" s="6" t="s">
        <v>171</v>
      </c>
      <c r="M408" s="6">
        <v>1</v>
      </c>
      <c r="N408" s="7">
        <v>3000</v>
      </c>
      <c r="O408" s="7">
        <f t="shared" si="34"/>
        <v>3000</v>
      </c>
      <c r="P408" s="6" t="s">
        <v>27</v>
      </c>
      <c r="Q408" s="6" t="s">
        <v>396</v>
      </c>
      <c r="R408" s="4" t="s">
        <v>146</v>
      </c>
      <c r="S408" s="6" t="s">
        <v>29</v>
      </c>
      <c r="T408" s="6" t="s">
        <v>36</v>
      </c>
    </row>
    <row r="409" spans="1:20" x14ac:dyDescent="0.35">
      <c r="A409" s="4">
        <v>44177</v>
      </c>
      <c r="B409" s="5">
        <f t="shared" si="30"/>
        <v>2020</v>
      </c>
      <c r="C409" s="5">
        <f t="shared" si="31"/>
        <v>12</v>
      </c>
      <c r="D409" s="5">
        <f t="shared" si="32"/>
        <v>12</v>
      </c>
      <c r="E409" s="5" t="str">
        <f t="shared" si="33"/>
        <v>December</v>
      </c>
      <c r="F409" s="6" t="s">
        <v>492</v>
      </c>
      <c r="G409" s="6" t="s">
        <v>493</v>
      </c>
      <c r="H409" s="6" t="s">
        <v>200</v>
      </c>
      <c r="I409" s="6" t="s">
        <v>201</v>
      </c>
      <c r="J409" s="6" t="s">
        <v>150</v>
      </c>
      <c r="K409" s="6" t="s">
        <v>166</v>
      </c>
      <c r="L409" s="6" t="s">
        <v>206</v>
      </c>
      <c r="M409" s="6">
        <v>2</v>
      </c>
      <c r="N409" s="7">
        <v>6750</v>
      </c>
      <c r="O409" s="7">
        <f t="shared" si="34"/>
        <v>13500</v>
      </c>
      <c r="P409" s="6" t="s">
        <v>27</v>
      </c>
      <c r="Q409" s="6" t="s">
        <v>396</v>
      </c>
      <c r="R409" s="4" t="s">
        <v>146</v>
      </c>
      <c r="S409" s="6" t="s">
        <v>29</v>
      </c>
      <c r="T409" s="6" t="s">
        <v>36</v>
      </c>
    </row>
    <row r="410" spans="1:20" x14ac:dyDescent="0.35">
      <c r="A410" s="4">
        <v>44177</v>
      </c>
      <c r="B410" s="5">
        <f t="shared" si="30"/>
        <v>2020</v>
      </c>
      <c r="C410" s="5">
        <f t="shared" si="31"/>
        <v>12</v>
      </c>
      <c r="D410" s="5">
        <f t="shared" si="32"/>
        <v>12</v>
      </c>
      <c r="E410" s="5" t="str">
        <f t="shared" si="33"/>
        <v>December</v>
      </c>
      <c r="F410" s="6" t="s">
        <v>492</v>
      </c>
      <c r="G410" s="6" t="s">
        <v>493</v>
      </c>
      <c r="H410" s="6" t="s">
        <v>176</v>
      </c>
      <c r="I410" s="6" t="s">
        <v>281</v>
      </c>
      <c r="J410" s="6" t="s">
        <v>150</v>
      </c>
      <c r="K410" s="6" t="s">
        <v>282</v>
      </c>
      <c r="L410" s="6" t="s">
        <v>283</v>
      </c>
      <c r="M410" s="6">
        <v>2</v>
      </c>
      <c r="N410" s="7">
        <v>3300</v>
      </c>
      <c r="O410" s="7">
        <f t="shared" si="34"/>
        <v>6600</v>
      </c>
      <c r="P410" s="6" t="s">
        <v>27</v>
      </c>
      <c r="Q410" s="6" t="s">
        <v>396</v>
      </c>
      <c r="R410" s="4" t="s">
        <v>146</v>
      </c>
      <c r="S410" s="6" t="s">
        <v>29</v>
      </c>
      <c r="T410" s="6" t="s">
        <v>36</v>
      </c>
    </row>
    <row r="411" spans="1:20" x14ac:dyDescent="0.35">
      <c r="A411" s="4">
        <v>44177</v>
      </c>
      <c r="B411" s="5">
        <f t="shared" si="30"/>
        <v>2020</v>
      </c>
      <c r="C411" s="5">
        <f t="shared" si="31"/>
        <v>12</v>
      </c>
      <c r="D411" s="5">
        <f t="shared" si="32"/>
        <v>12</v>
      </c>
      <c r="E411" s="5" t="str">
        <f t="shared" si="33"/>
        <v>December</v>
      </c>
      <c r="F411" s="6" t="s">
        <v>494</v>
      </c>
      <c r="G411" s="6" t="s">
        <v>495</v>
      </c>
      <c r="H411" s="6" t="s">
        <v>340</v>
      </c>
      <c r="I411" s="6" t="s">
        <v>341</v>
      </c>
      <c r="J411" s="6" t="s">
        <v>150</v>
      </c>
      <c r="K411" s="6" t="s">
        <v>242</v>
      </c>
      <c r="L411" s="6" t="s">
        <v>344</v>
      </c>
      <c r="M411" s="6">
        <v>1</v>
      </c>
      <c r="N411" s="6">
        <v>1</v>
      </c>
      <c r="O411" s="7">
        <f t="shared" si="34"/>
        <v>1</v>
      </c>
      <c r="P411" s="6" t="s">
        <v>27</v>
      </c>
      <c r="Q411" s="6" t="s">
        <v>305</v>
      </c>
      <c r="R411" s="4" t="s">
        <v>146</v>
      </c>
      <c r="S411" s="6" t="s">
        <v>29</v>
      </c>
      <c r="T411" s="6" t="s">
        <v>36</v>
      </c>
    </row>
    <row r="412" spans="1:20" x14ac:dyDescent="0.35">
      <c r="A412" s="4">
        <v>44177</v>
      </c>
      <c r="B412" s="5">
        <f t="shared" si="30"/>
        <v>2020</v>
      </c>
      <c r="C412" s="5">
        <f t="shared" si="31"/>
        <v>12</v>
      </c>
      <c r="D412" s="5">
        <f t="shared" si="32"/>
        <v>12</v>
      </c>
      <c r="E412" s="5" t="str">
        <f t="shared" si="33"/>
        <v>December</v>
      </c>
      <c r="F412" s="6" t="s">
        <v>494</v>
      </c>
      <c r="G412" s="6" t="s">
        <v>495</v>
      </c>
      <c r="H412" s="6" t="s">
        <v>340</v>
      </c>
      <c r="I412" s="6" t="s">
        <v>341</v>
      </c>
      <c r="J412" s="6" t="s">
        <v>150</v>
      </c>
      <c r="K412" s="6" t="s">
        <v>242</v>
      </c>
      <c r="L412" s="6" t="s">
        <v>342</v>
      </c>
      <c r="M412" s="6">
        <v>1</v>
      </c>
      <c r="N412" s="7">
        <v>1500</v>
      </c>
      <c r="O412" s="7">
        <f t="shared" si="34"/>
        <v>1500</v>
      </c>
      <c r="P412" s="6" t="s">
        <v>27</v>
      </c>
      <c r="Q412" s="6" t="s">
        <v>305</v>
      </c>
      <c r="R412" s="4" t="s">
        <v>146</v>
      </c>
      <c r="S412" s="6" t="s">
        <v>29</v>
      </c>
      <c r="T412" s="6" t="s">
        <v>36</v>
      </c>
    </row>
    <row r="413" spans="1:20" x14ac:dyDescent="0.35">
      <c r="A413" s="4">
        <v>44147</v>
      </c>
      <c r="B413" s="5">
        <f t="shared" si="30"/>
        <v>2020</v>
      </c>
      <c r="C413" s="5">
        <f t="shared" si="31"/>
        <v>11</v>
      </c>
      <c r="D413" s="5">
        <f t="shared" si="32"/>
        <v>12</v>
      </c>
      <c r="E413" s="5" t="str">
        <f t="shared" si="33"/>
        <v>November</v>
      </c>
      <c r="F413" s="6" t="s">
        <v>496</v>
      </c>
      <c r="G413" s="6" t="s">
        <v>21</v>
      </c>
      <c r="H413" s="6" t="s">
        <v>168</v>
      </c>
      <c r="I413" s="6" t="s">
        <v>169</v>
      </c>
      <c r="J413" s="6" t="s">
        <v>150</v>
      </c>
      <c r="K413" s="6" t="s">
        <v>170</v>
      </c>
      <c r="L413" s="6" t="s">
        <v>171</v>
      </c>
      <c r="M413" s="6">
        <v>10</v>
      </c>
      <c r="N413" s="7">
        <v>3000</v>
      </c>
      <c r="O413" s="7">
        <f t="shared" si="34"/>
        <v>30000</v>
      </c>
      <c r="P413" s="6" t="s">
        <v>27</v>
      </c>
      <c r="Q413" s="6" t="s">
        <v>28</v>
      </c>
      <c r="R413" s="4" t="s">
        <v>146</v>
      </c>
      <c r="S413" s="6" t="s">
        <v>29</v>
      </c>
      <c r="T413" s="6" t="s">
        <v>30</v>
      </c>
    </row>
    <row r="414" spans="1:20" x14ac:dyDescent="0.35">
      <c r="A414" s="4">
        <v>44147</v>
      </c>
      <c r="B414" s="5">
        <f t="shared" si="30"/>
        <v>2020</v>
      </c>
      <c r="C414" s="5">
        <f t="shared" si="31"/>
        <v>11</v>
      </c>
      <c r="D414" s="5">
        <f t="shared" si="32"/>
        <v>12</v>
      </c>
      <c r="E414" s="5" t="str">
        <f t="shared" si="33"/>
        <v>November</v>
      </c>
      <c r="F414" s="6" t="s">
        <v>496</v>
      </c>
      <c r="G414" s="6" t="s">
        <v>21</v>
      </c>
      <c r="H414" s="6" t="s">
        <v>168</v>
      </c>
      <c r="I414" s="6" t="s">
        <v>169</v>
      </c>
      <c r="J414" s="6" t="s">
        <v>150</v>
      </c>
      <c r="K414" s="6" t="s">
        <v>170</v>
      </c>
      <c r="L414" s="6" t="s">
        <v>185</v>
      </c>
      <c r="M414" s="6">
        <v>10</v>
      </c>
      <c r="N414" s="7">
        <v>3000</v>
      </c>
      <c r="O414" s="7">
        <f t="shared" si="34"/>
        <v>30000</v>
      </c>
      <c r="P414" s="6" t="s">
        <v>27</v>
      </c>
      <c r="Q414" s="6" t="s">
        <v>28</v>
      </c>
      <c r="R414" s="4" t="s">
        <v>146</v>
      </c>
      <c r="S414" s="6" t="s">
        <v>29</v>
      </c>
      <c r="T414" s="6" t="s">
        <v>30</v>
      </c>
    </row>
    <row r="415" spans="1:20" x14ac:dyDescent="0.35">
      <c r="A415" s="4">
        <v>44177</v>
      </c>
      <c r="B415" s="5">
        <f t="shared" si="30"/>
        <v>2020</v>
      </c>
      <c r="C415" s="5">
        <f t="shared" si="31"/>
        <v>12</v>
      </c>
      <c r="D415" s="5">
        <f t="shared" si="32"/>
        <v>12</v>
      </c>
      <c r="E415" s="5" t="str">
        <f t="shared" si="33"/>
        <v>December</v>
      </c>
      <c r="F415" s="6" t="s">
        <v>497</v>
      </c>
      <c r="G415" s="6" t="s">
        <v>133</v>
      </c>
      <c r="H415" s="6" t="s">
        <v>200</v>
      </c>
      <c r="I415" s="6" t="s">
        <v>201</v>
      </c>
      <c r="J415" s="6" t="s">
        <v>150</v>
      </c>
      <c r="K415" s="6" t="s">
        <v>166</v>
      </c>
      <c r="L415" s="6" t="s">
        <v>206</v>
      </c>
      <c r="M415" s="6">
        <v>5</v>
      </c>
      <c r="N415" s="7">
        <v>6750</v>
      </c>
      <c r="O415" s="7">
        <f t="shared" si="34"/>
        <v>33750</v>
      </c>
      <c r="P415" s="6" t="s">
        <v>27</v>
      </c>
      <c r="Q415" s="6" t="s">
        <v>77</v>
      </c>
      <c r="R415" s="4" t="s">
        <v>146</v>
      </c>
      <c r="S415" s="6" t="s">
        <v>85</v>
      </c>
      <c r="T415" s="6" t="s">
        <v>30</v>
      </c>
    </row>
    <row r="416" spans="1:20" x14ac:dyDescent="0.35">
      <c r="A416" s="4">
        <v>44177</v>
      </c>
      <c r="B416" s="5">
        <f t="shared" si="30"/>
        <v>2020</v>
      </c>
      <c r="C416" s="5">
        <f t="shared" si="31"/>
        <v>12</v>
      </c>
      <c r="D416" s="5">
        <f t="shared" si="32"/>
        <v>12</v>
      </c>
      <c r="E416" s="5" t="str">
        <f t="shared" si="33"/>
        <v>December</v>
      </c>
      <c r="F416" s="6" t="s">
        <v>498</v>
      </c>
      <c r="G416" s="6" t="s">
        <v>431</v>
      </c>
      <c r="H416" s="6" t="s">
        <v>39</v>
      </c>
      <c r="I416" s="6" t="s">
        <v>172</v>
      </c>
      <c r="J416" s="6" t="s">
        <v>150</v>
      </c>
      <c r="K416" s="6" t="s">
        <v>166</v>
      </c>
      <c r="L416" s="6" t="s">
        <v>203</v>
      </c>
      <c r="M416" s="6">
        <v>1</v>
      </c>
      <c r="N416" s="7">
        <v>3750</v>
      </c>
      <c r="O416" s="7">
        <f t="shared" si="34"/>
        <v>3750</v>
      </c>
      <c r="P416" s="6" t="s">
        <v>27</v>
      </c>
      <c r="Q416" s="6" t="s">
        <v>349</v>
      </c>
      <c r="R416" s="4" t="s">
        <v>146</v>
      </c>
      <c r="S416" s="6" t="s">
        <v>29</v>
      </c>
      <c r="T416" s="6" t="s">
        <v>36</v>
      </c>
    </row>
    <row r="417" spans="1:20" x14ac:dyDescent="0.35">
      <c r="A417" s="4">
        <v>44177</v>
      </c>
      <c r="B417" s="5">
        <f t="shared" si="30"/>
        <v>2020</v>
      </c>
      <c r="C417" s="5">
        <f t="shared" si="31"/>
        <v>12</v>
      </c>
      <c r="D417" s="5">
        <f t="shared" si="32"/>
        <v>12</v>
      </c>
      <c r="E417" s="5" t="str">
        <f t="shared" si="33"/>
        <v>December</v>
      </c>
      <c r="F417" s="6" t="s">
        <v>498</v>
      </c>
      <c r="G417" s="6" t="s">
        <v>431</v>
      </c>
      <c r="H417" s="6" t="s">
        <v>39</v>
      </c>
      <c r="I417" s="6" t="s">
        <v>268</v>
      </c>
      <c r="J417" s="6" t="s">
        <v>150</v>
      </c>
      <c r="K417" s="6" t="s">
        <v>166</v>
      </c>
      <c r="L417" s="6" t="s">
        <v>457</v>
      </c>
      <c r="M417" s="6">
        <v>1</v>
      </c>
      <c r="N417" s="7">
        <v>3750</v>
      </c>
      <c r="O417" s="7">
        <f t="shared" si="34"/>
        <v>3750</v>
      </c>
      <c r="P417" s="6" t="s">
        <v>27</v>
      </c>
      <c r="Q417" s="6" t="s">
        <v>349</v>
      </c>
      <c r="R417" s="4" t="s">
        <v>146</v>
      </c>
      <c r="S417" s="6" t="s">
        <v>29</v>
      </c>
      <c r="T417" s="6" t="s">
        <v>36</v>
      </c>
    </row>
    <row r="418" spans="1:20" x14ac:dyDescent="0.35">
      <c r="A418" s="4">
        <v>44177</v>
      </c>
      <c r="B418" s="5">
        <f t="shared" si="30"/>
        <v>2020</v>
      </c>
      <c r="C418" s="5">
        <f t="shared" si="31"/>
        <v>12</v>
      </c>
      <c r="D418" s="5">
        <f t="shared" si="32"/>
        <v>12</v>
      </c>
      <c r="E418" s="5" t="str">
        <f t="shared" si="33"/>
        <v>December</v>
      </c>
      <c r="F418" s="6" t="s">
        <v>498</v>
      </c>
      <c r="G418" s="6" t="s">
        <v>431</v>
      </c>
      <c r="H418" s="6" t="s">
        <v>364</v>
      </c>
      <c r="I418" s="6" t="s">
        <v>365</v>
      </c>
      <c r="J418" s="6" t="s">
        <v>150</v>
      </c>
      <c r="K418" s="6" t="s">
        <v>366</v>
      </c>
      <c r="L418" s="6" t="s">
        <v>367</v>
      </c>
      <c r="M418" s="6">
        <v>1</v>
      </c>
      <c r="N418" s="7">
        <v>4200</v>
      </c>
      <c r="O418" s="7">
        <f t="shared" si="34"/>
        <v>4200</v>
      </c>
      <c r="P418" s="6" t="s">
        <v>27</v>
      </c>
      <c r="Q418" s="6" t="s">
        <v>349</v>
      </c>
      <c r="R418" s="4" t="s">
        <v>146</v>
      </c>
      <c r="S418" s="6" t="s">
        <v>29</v>
      </c>
      <c r="T418" s="6" t="s">
        <v>36</v>
      </c>
    </row>
    <row r="419" spans="1:20" x14ac:dyDescent="0.35">
      <c r="A419" s="4">
        <v>44177</v>
      </c>
      <c r="B419" s="5">
        <f t="shared" si="30"/>
        <v>2020</v>
      </c>
      <c r="C419" s="5">
        <f t="shared" si="31"/>
        <v>12</v>
      </c>
      <c r="D419" s="5">
        <f t="shared" si="32"/>
        <v>12</v>
      </c>
      <c r="E419" s="5" t="str">
        <f t="shared" si="33"/>
        <v>December</v>
      </c>
      <c r="F419" s="6" t="s">
        <v>499</v>
      </c>
      <c r="G419" s="6" t="s">
        <v>500</v>
      </c>
      <c r="H419" s="6" t="s">
        <v>340</v>
      </c>
      <c r="I419" s="6" t="s">
        <v>341</v>
      </c>
      <c r="J419" s="6" t="s">
        <v>150</v>
      </c>
      <c r="K419" s="6" t="s">
        <v>242</v>
      </c>
      <c r="L419" s="6" t="s">
        <v>344</v>
      </c>
      <c r="M419" s="6">
        <v>1</v>
      </c>
      <c r="N419" s="6">
        <v>1</v>
      </c>
      <c r="O419" s="7">
        <f t="shared" si="34"/>
        <v>1</v>
      </c>
      <c r="P419" s="6" t="s">
        <v>27</v>
      </c>
      <c r="Q419" s="6" t="s">
        <v>501</v>
      </c>
      <c r="R419" s="4" t="s">
        <v>146</v>
      </c>
      <c r="S419" s="6" t="s">
        <v>29</v>
      </c>
      <c r="T419" s="6" t="s">
        <v>36</v>
      </c>
    </row>
    <row r="420" spans="1:20" x14ac:dyDescent="0.35">
      <c r="A420" s="4">
        <v>44177</v>
      </c>
      <c r="B420" s="5">
        <f t="shared" si="30"/>
        <v>2020</v>
      </c>
      <c r="C420" s="5">
        <f t="shared" si="31"/>
        <v>12</v>
      </c>
      <c r="D420" s="5">
        <f t="shared" si="32"/>
        <v>12</v>
      </c>
      <c r="E420" s="5" t="str">
        <f t="shared" si="33"/>
        <v>December</v>
      </c>
      <c r="F420" s="6" t="s">
        <v>499</v>
      </c>
      <c r="G420" s="6" t="s">
        <v>500</v>
      </c>
      <c r="H420" s="6" t="s">
        <v>340</v>
      </c>
      <c r="I420" s="6" t="s">
        <v>341</v>
      </c>
      <c r="J420" s="6" t="s">
        <v>150</v>
      </c>
      <c r="K420" s="6" t="s">
        <v>242</v>
      </c>
      <c r="L420" s="6" t="s">
        <v>342</v>
      </c>
      <c r="M420" s="6">
        <v>1</v>
      </c>
      <c r="N420" s="7">
        <v>1500</v>
      </c>
      <c r="O420" s="7">
        <f t="shared" si="34"/>
        <v>1500</v>
      </c>
      <c r="P420" s="6" t="s">
        <v>27</v>
      </c>
      <c r="Q420" s="6" t="s">
        <v>501</v>
      </c>
      <c r="R420" s="4" t="s">
        <v>146</v>
      </c>
      <c r="S420" s="6" t="s">
        <v>29</v>
      </c>
      <c r="T420" s="6" t="s">
        <v>36</v>
      </c>
    </row>
    <row r="421" spans="1:20" x14ac:dyDescent="0.35">
      <c r="A421" s="4">
        <v>44147</v>
      </c>
      <c r="B421" s="5">
        <f t="shared" si="30"/>
        <v>2020</v>
      </c>
      <c r="C421" s="5">
        <f t="shared" si="31"/>
        <v>11</v>
      </c>
      <c r="D421" s="5">
        <f t="shared" si="32"/>
        <v>12</v>
      </c>
      <c r="E421" s="5" t="str">
        <f t="shared" si="33"/>
        <v>November</v>
      </c>
      <c r="F421" s="6" t="s">
        <v>502</v>
      </c>
      <c r="G421" s="6" t="s">
        <v>489</v>
      </c>
      <c r="H421" s="6" t="s">
        <v>219</v>
      </c>
      <c r="I421" s="6" t="s">
        <v>220</v>
      </c>
      <c r="J421" s="6" t="s">
        <v>150</v>
      </c>
      <c r="K421" s="6" t="s">
        <v>221</v>
      </c>
      <c r="L421" s="6" t="s">
        <v>222</v>
      </c>
      <c r="M421" s="6">
        <v>11</v>
      </c>
      <c r="N421" s="7">
        <v>4200</v>
      </c>
      <c r="O421" s="7">
        <f t="shared" si="34"/>
        <v>46200</v>
      </c>
      <c r="P421" s="6" t="s">
        <v>27</v>
      </c>
      <c r="Q421" s="6" t="s">
        <v>81</v>
      </c>
      <c r="R421" s="4" t="s">
        <v>146</v>
      </c>
      <c r="S421" s="6" t="s">
        <v>85</v>
      </c>
      <c r="T421" s="6" t="s">
        <v>30</v>
      </c>
    </row>
    <row r="422" spans="1:20" x14ac:dyDescent="0.35">
      <c r="A422" s="4">
        <v>44147</v>
      </c>
      <c r="B422" s="5">
        <f t="shared" si="30"/>
        <v>2020</v>
      </c>
      <c r="C422" s="5">
        <f t="shared" si="31"/>
        <v>11</v>
      </c>
      <c r="D422" s="5">
        <f t="shared" si="32"/>
        <v>12</v>
      </c>
      <c r="E422" s="5" t="str">
        <f t="shared" si="33"/>
        <v>November</v>
      </c>
      <c r="F422" s="6" t="s">
        <v>502</v>
      </c>
      <c r="G422" s="6" t="s">
        <v>489</v>
      </c>
      <c r="H422" s="6" t="s">
        <v>44</v>
      </c>
      <c r="I422" s="6" t="s">
        <v>156</v>
      </c>
      <c r="J422" s="6" t="s">
        <v>150</v>
      </c>
      <c r="K422" s="6" t="s">
        <v>157</v>
      </c>
      <c r="L422" s="6" t="s">
        <v>158</v>
      </c>
      <c r="M422" s="6">
        <v>5</v>
      </c>
      <c r="N422" s="7">
        <v>7450</v>
      </c>
      <c r="O422" s="7">
        <f t="shared" si="34"/>
        <v>37250</v>
      </c>
      <c r="P422" s="6" t="s">
        <v>27</v>
      </c>
      <c r="Q422" s="6" t="s">
        <v>81</v>
      </c>
      <c r="R422" s="4" t="s">
        <v>146</v>
      </c>
      <c r="S422" s="6" t="s">
        <v>85</v>
      </c>
      <c r="T422" s="6" t="s">
        <v>30</v>
      </c>
    </row>
    <row r="423" spans="1:20" x14ac:dyDescent="0.35">
      <c r="A423" s="4">
        <v>44177</v>
      </c>
      <c r="B423" s="5">
        <f t="shared" si="30"/>
        <v>2020</v>
      </c>
      <c r="C423" s="5">
        <f t="shared" si="31"/>
        <v>12</v>
      </c>
      <c r="D423" s="5">
        <f t="shared" si="32"/>
        <v>12</v>
      </c>
      <c r="E423" s="5" t="str">
        <f t="shared" si="33"/>
        <v>December</v>
      </c>
      <c r="F423" s="6" t="s">
        <v>503</v>
      </c>
      <c r="G423" s="6" t="s">
        <v>489</v>
      </c>
      <c r="H423" s="6" t="s">
        <v>219</v>
      </c>
      <c r="I423" s="6" t="s">
        <v>220</v>
      </c>
      <c r="J423" s="6" t="s">
        <v>150</v>
      </c>
      <c r="K423" s="6" t="s">
        <v>221</v>
      </c>
      <c r="L423" s="6" t="s">
        <v>284</v>
      </c>
      <c r="M423" s="6">
        <v>10</v>
      </c>
      <c r="N423" s="7">
        <v>2780</v>
      </c>
      <c r="O423" s="7">
        <f t="shared" si="34"/>
        <v>27800</v>
      </c>
      <c r="P423" s="6" t="s">
        <v>27</v>
      </c>
      <c r="Q423" s="6" t="s">
        <v>81</v>
      </c>
      <c r="R423" s="4" t="s">
        <v>146</v>
      </c>
      <c r="S423" s="6" t="s">
        <v>85</v>
      </c>
      <c r="T423" s="6" t="s">
        <v>30</v>
      </c>
    </row>
    <row r="424" spans="1:20" x14ac:dyDescent="0.35">
      <c r="A424" s="4">
        <v>44177</v>
      </c>
      <c r="B424" s="5">
        <f t="shared" si="30"/>
        <v>2020</v>
      </c>
      <c r="C424" s="5">
        <f t="shared" si="31"/>
        <v>12</v>
      </c>
      <c r="D424" s="5">
        <f t="shared" si="32"/>
        <v>12</v>
      </c>
      <c r="E424" s="5" t="str">
        <f t="shared" si="33"/>
        <v>December</v>
      </c>
      <c r="F424" s="6" t="s">
        <v>504</v>
      </c>
      <c r="G424" s="6" t="s">
        <v>304</v>
      </c>
      <c r="H424" s="6" t="s">
        <v>200</v>
      </c>
      <c r="I424" s="6" t="s">
        <v>286</v>
      </c>
      <c r="J424" s="6" t="s">
        <v>150</v>
      </c>
      <c r="K424" s="6" t="s">
        <v>166</v>
      </c>
      <c r="L424" s="6" t="s">
        <v>287</v>
      </c>
      <c r="M424" s="6">
        <v>1</v>
      </c>
      <c r="N424" s="7">
        <v>23680</v>
      </c>
      <c r="O424" s="7">
        <f t="shared" si="34"/>
        <v>23680</v>
      </c>
      <c r="P424" s="6" t="s">
        <v>27</v>
      </c>
      <c r="Q424" s="6" t="s">
        <v>153</v>
      </c>
      <c r="R424" s="4" t="s">
        <v>146</v>
      </c>
      <c r="S424" s="6" t="s">
        <v>29</v>
      </c>
      <c r="T424" s="6" t="s">
        <v>30</v>
      </c>
    </row>
    <row r="425" spans="1:20" x14ac:dyDescent="0.35">
      <c r="A425" s="4">
        <v>44177</v>
      </c>
      <c r="B425" s="5">
        <f t="shared" si="30"/>
        <v>2020</v>
      </c>
      <c r="C425" s="5">
        <f t="shared" si="31"/>
        <v>12</v>
      </c>
      <c r="D425" s="5">
        <f t="shared" si="32"/>
        <v>12</v>
      </c>
      <c r="E425" s="5" t="str">
        <f t="shared" si="33"/>
        <v>December</v>
      </c>
      <c r="F425" s="6" t="s">
        <v>504</v>
      </c>
      <c r="G425" s="6" t="s">
        <v>304</v>
      </c>
      <c r="H425" s="6" t="s">
        <v>200</v>
      </c>
      <c r="I425" s="6" t="s">
        <v>201</v>
      </c>
      <c r="J425" s="6" t="s">
        <v>150</v>
      </c>
      <c r="K425" s="6" t="s">
        <v>166</v>
      </c>
      <c r="L425" s="6" t="s">
        <v>213</v>
      </c>
      <c r="M425" s="6">
        <v>1</v>
      </c>
      <c r="N425" s="7">
        <v>8500</v>
      </c>
      <c r="O425" s="7">
        <f t="shared" si="34"/>
        <v>8500</v>
      </c>
      <c r="P425" s="6" t="s">
        <v>27</v>
      </c>
      <c r="Q425" s="6" t="s">
        <v>153</v>
      </c>
      <c r="R425" s="4" t="s">
        <v>146</v>
      </c>
      <c r="S425" s="6" t="s">
        <v>29</v>
      </c>
      <c r="T425" s="6" t="s">
        <v>30</v>
      </c>
    </row>
    <row r="426" spans="1:20" x14ac:dyDescent="0.35">
      <c r="A426" s="4">
        <v>44177</v>
      </c>
      <c r="B426" s="5">
        <f t="shared" si="30"/>
        <v>2020</v>
      </c>
      <c r="C426" s="5">
        <f t="shared" si="31"/>
        <v>12</v>
      </c>
      <c r="D426" s="5">
        <f t="shared" si="32"/>
        <v>12</v>
      </c>
      <c r="E426" s="5" t="str">
        <f t="shared" si="33"/>
        <v>December</v>
      </c>
      <c r="F426" s="6" t="s">
        <v>504</v>
      </c>
      <c r="G426" s="6" t="s">
        <v>304</v>
      </c>
      <c r="H426" s="6" t="s">
        <v>39</v>
      </c>
      <c r="I426" s="6" t="s">
        <v>268</v>
      </c>
      <c r="J426" s="6" t="s">
        <v>150</v>
      </c>
      <c r="K426" s="6" t="s">
        <v>166</v>
      </c>
      <c r="L426" s="6" t="s">
        <v>457</v>
      </c>
      <c r="M426" s="6">
        <v>1</v>
      </c>
      <c r="N426" s="7">
        <v>3750</v>
      </c>
      <c r="O426" s="7">
        <f t="shared" si="34"/>
        <v>3750</v>
      </c>
      <c r="P426" s="6" t="s">
        <v>27</v>
      </c>
      <c r="Q426" s="6" t="s">
        <v>153</v>
      </c>
      <c r="R426" s="4" t="s">
        <v>146</v>
      </c>
      <c r="S426" s="6" t="s">
        <v>29</v>
      </c>
      <c r="T426" s="6" t="s">
        <v>30</v>
      </c>
    </row>
    <row r="427" spans="1:20" x14ac:dyDescent="0.35">
      <c r="A427" s="4">
        <v>44177</v>
      </c>
      <c r="B427" s="5">
        <f t="shared" si="30"/>
        <v>2020</v>
      </c>
      <c r="C427" s="5">
        <f t="shared" si="31"/>
        <v>12</v>
      </c>
      <c r="D427" s="5">
        <f t="shared" si="32"/>
        <v>12</v>
      </c>
      <c r="E427" s="5" t="str">
        <f t="shared" si="33"/>
        <v>December</v>
      </c>
      <c r="F427" s="6" t="s">
        <v>505</v>
      </c>
      <c r="G427" s="6" t="s">
        <v>506</v>
      </c>
      <c r="H427" s="6" t="s">
        <v>219</v>
      </c>
      <c r="I427" s="6" t="s">
        <v>220</v>
      </c>
      <c r="J427" s="6" t="s">
        <v>150</v>
      </c>
      <c r="K427" s="6" t="s">
        <v>221</v>
      </c>
      <c r="L427" s="6" t="s">
        <v>284</v>
      </c>
      <c r="M427" s="6">
        <v>1</v>
      </c>
      <c r="N427" s="7">
        <v>2780</v>
      </c>
      <c r="O427" s="7">
        <f t="shared" si="34"/>
        <v>2780</v>
      </c>
      <c r="P427" s="6" t="s">
        <v>27</v>
      </c>
      <c r="Q427" s="6" t="s">
        <v>331</v>
      </c>
      <c r="R427" s="4" t="s">
        <v>146</v>
      </c>
      <c r="S427" s="6" t="s">
        <v>29</v>
      </c>
      <c r="T427" s="6" t="s">
        <v>36</v>
      </c>
    </row>
    <row r="428" spans="1:20" x14ac:dyDescent="0.35">
      <c r="A428" s="4">
        <v>44177</v>
      </c>
      <c r="B428" s="5">
        <f t="shared" si="30"/>
        <v>2020</v>
      </c>
      <c r="C428" s="5">
        <f t="shared" si="31"/>
        <v>12</v>
      </c>
      <c r="D428" s="5">
        <f t="shared" si="32"/>
        <v>12</v>
      </c>
      <c r="E428" s="5" t="str">
        <f t="shared" si="33"/>
        <v>December</v>
      </c>
      <c r="F428" s="6" t="s">
        <v>505</v>
      </c>
      <c r="G428" s="6" t="s">
        <v>506</v>
      </c>
      <c r="H428" s="6" t="s">
        <v>39</v>
      </c>
      <c r="I428" s="6" t="s">
        <v>172</v>
      </c>
      <c r="J428" s="6" t="s">
        <v>150</v>
      </c>
      <c r="K428" s="6" t="s">
        <v>166</v>
      </c>
      <c r="L428" s="6" t="s">
        <v>507</v>
      </c>
      <c r="M428" s="6">
        <v>1</v>
      </c>
      <c r="N428" s="7">
        <v>10650</v>
      </c>
      <c r="O428" s="7">
        <f t="shared" si="34"/>
        <v>10650</v>
      </c>
      <c r="P428" s="6" t="s">
        <v>27</v>
      </c>
      <c r="Q428" s="6" t="s">
        <v>331</v>
      </c>
      <c r="R428" s="4" t="s">
        <v>146</v>
      </c>
      <c r="S428" s="6" t="s">
        <v>29</v>
      </c>
      <c r="T428" s="6" t="s">
        <v>36</v>
      </c>
    </row>
    <row r="429" spans="1:20" x14ac:dyDescent="0.35">
      <c r="A429" s="4">
        <v>44177</v>
      </c>
      <c r="B429" s="5">
        <f t="shared" si="30"/>
        <v>2020</v>
      </c>
      <c r="C429" s="5">
        <f t="shared" si="31"/>
        <v>12</v>
      </c>
      <c r="D429" s="5">
        <f t="shared" si="32"/>
        <v>12</v>
      </c>
      <c r="E429" s="5" t="str">
        <f t="shared" si="33"/>
        <v>December</v>
      </c>
      <c r="F429" s="6" t="s">
        <v>505</v>
      </c>
      <c r="G429" s="6" t="s">
        <v>506</v>
      </c>
      <c r="H429" s="6" t="s">
        <v>340</v>
      </c>
      <c r="I429" s="6" t="s">
        <v>341</v>
      </c>
      <c r="J429" s="6" t="s">
        <v>150</v>
      </c>
      <c r="K429" s="6" t="s">
        <v>242</v>
      </c>
      <c r="L429" s="6" t="s">
        <v>344</v>
      </c>
      <c r="M429" s="6">
        <v>1</v>
      </c>
      <c r="N429" s="6">
        <v>1</v>
      </c>
      <c r="O429" s="7">
        <f t="shared" si="34"/>
        <v>1</v>
      </c>
      <c r="P429" s="6" t="s">
        <v>27</v>
      </c>
      <c r="Q429" s="6" t="s">
        <v>331</v>
      </c>
      <c r="R429" s="4" t="s">
        <v>146</v>
      </c>
      <c r="S429" s="6" t="s">
        <v>29</v>
      </c>
      <c r="T429" s="6" t="s">
        <v>36</v>
      </c>
    </row>
    <row r="430" spans="1:20" x14ac:dyDescent="0.35">
      <c r="A430" s="4">
        <v>44177</v>
      </c>
      <c r="B430" s="5">
        <f t="shared" si="30"/>
        <v>2020</v>
      </c>
      <c r="C430" s="5">
        <f t="shared" si="31"/>
        <v>12</v>
      </c>
      <c r="D430" s="5">
        <f t="shared" si="32"/>
        <v>12</v>
      </c>
      <c r="E430" s="5" t="str">
        <f t="shared" si="33"/>
        <v>December</v>
      </c>
      <c r="F430" s="6" t="s">
        <v>505</v>
      </c>
      <c r="G430" s="6" t="s">
        <v>506</v>
      </c>
      <c r="H430" s="6" t="s">
        <v>340</v>
      </c>
      <c r="I430" s="6" t="s">
        <v>341</v>
      </c>
      <c r="J430" s="6" t="s">
        <v>150</v>
      </c>
      <c r="K430" s="6" t="s">
        <v>242</v>
      </c>
      <c r="L430" s="6" t="s">
        <v>342</v>
      </c>
      <c r="M430" s="6">
        <v>2</v>
      </c>
      <c r="N430" s="7">
        <v>1500</v>
      </c>
      <c r="O430" s="7">
        <f t="shared" si="34"/>
        <v>3000</v>
      </c>
      <c r="P430" s="6" t="s">
        <v>27</v>
      </c>
      <c r="Q430" s="6" t="s">
        <v>331</v>
      </c>
      <c r="R430" s="4" t="s">
        <v>146</v>
      </c>
      <c r="S430" s="6" t="s">
        <v>29</v>
      </c>
      <c r="T430" s="6" t="s">
        <v>36</v>
      </c>
    </row>
    <row r="431" spans="1:20" x14ac:dyDescent="0.35">
      <c r="A431" s="4">
        <v>44177</v>
      </c>
      <c r="B431" s="5">
        <f t="shared" si="30"/>
        <v>2020</v>
      </c>
      <c r="C431" s="5">
        <f t="shared" si="31"/>
        <v>12</v>
      </c>
      <c r="D431" s="5">
        <f t="shared" si="32"/>
        <v>12</v>
      </c>
      <c r="E431" s="5" t="str">
        <f t="shared" si="33"/>
        <v>December</v>
      </c>
      <c r="F431" s="6" t="s">
        <v>508</v>
      </c>
      <c r="G431" s="6" t="s">
        <v>509</v>
      </c>
      <c r="H431" s="6" t="s">
        <v>44</v>
      </c>
      <c r="I431" s="6" t="s">
        <v>149</v>
      </c>
      <c r="J431" s="6" t="s">
        <v>150</v>
      </c>
      <c r="K431" s="6" t="s">
        <v>151</v>
      </c>
      <c r="L431" s="6" t="s">
        <v>155</v>
      </c>
      <c r="M431" s="6">
        <v>2</v>
      </c>
      <c r="N431" s="7">
        <v>9150</v>
      </c>
      <c r="O431" s="7">
        <f t="shared" si="34"/>
        <v>18300</v>
      </c>
      <c r="P431" s="6" t="s">
        <v>27</v>
      </c>
      <c r="Q431" s="6" t="s">
        <v>510</v>
      </c>
      <c r="R431" s="4" t="s">
        <v>146</v>
      </c>
      <c r="S431" s="6" t="s">
        <v>29</v>
      </c>
      <c r="T431" s="6" t="s">
        <v>36</v>
      </c>
    </row>
    <row r="432" spans="1:20" x14ac:dyDescent="0.35">
      <c r="A432" s="4">
        <v>44177</v>
      </c>
      <c r="B432" s="5">
        <f t="shared" si="30"/>
        <v>2020</v>
      </c>
      <c r="C432" s="5">
        <f t="shared" si="31"/>
        <v>12</v>
      </c>
      <c r="D432" s="5">
        <f t="shared" si="32"/>
        <v>12</v>
      </c>
      <c r="E432" s="5" t="str">
        <f t="shared" si="33"/>
        <v>December</v>
      </c>
      <c r="F432" s="6" t="s">
        <v>508</v>
      </c>
      <c r="G432" s="6" t="s">
        <v>509</v>
      </c>
      <c r="H432" s="6" t="s">
        <v>39</v>
      </c>
      <c r="I432" s="6" t="s">
        <v>172</v>
      </c>
      <c r="J432" s="6" t="s">
        <v>150</v>
      </c>
      <c r="K432" s="6" t="s">
        <v>166</v>
      </c>
      <c r="L432" s="6" t="s">
        <v>507</v>
      </c>
      <c r="M432" s="6">
        <v>1</v>
      </c>
      <c r="N432" s="7">
        <v>10650</v>
      </c>
      <c r="O432" s="7">
        <f t="shared" si="34"/>
        <v>10650</v>
      </c>
      <c r="P432" s="6" t="s">
        <v>27</v>
      </c>
      <c r="Q432" s="6" t="s">
        <v>510</v>
      </c>
      <c r="R432" s="4" t="s">
        <v>146</v>
      </c>
      <c r="S432" s="6" t="s">
        <v>29</v>
      </c>
      <c r="T432" s="6" t="s">
        <v>36</v>
      </c>
    </row>
    <row r="433" spans="1:20" x14ac:dyDescent="0.35">
      <c r="A433" s="4">
        <v>44177</v>
      </c>
      <c r="B433" s="5">
        <f t="shared" si="30"/>
        <v>2020</v>
      </c>
      <c r="C433" s="5">
        <f t="shared" si="31"/>
        <v>12</v>
      </c>
      <c r="D433" s="5">
        <f t="shared" si="32"/>
        <v>12</v>
      </c>
      <c r="E433" s="5" t="str">
        <f t="shared" si="33"/>
        <v>December</v>
      </c>
      <c r="F433" s="6" t="s">
        <v>508</v>
      </c>
      <c r="G433" s="6" t="s">
        <v>509</v>
      </c>
      <c r="H433" s="6" t="s">
        <v>219</v>
      </c>
      <c r="I433" s="6" t="s">
        <v>220</v>
      </c>
      <c r="J433" s="6" t="s">
        <v>150</v>
      </c>
      <c r="K433" s="6" t="s">
        <v>221</v>
      </c>
      <c r="L433" s="6" t="s">
        <v>307</v>
      </c>
      <c r="M433" s="6">
        <v>5</v>
      </c>
      <c r="N433" s="7">
        <v>2080</v>
      </c>
      <c r="O433" s="7">
        <f t="shared" si="34"/>
        <v>10400</v>
      </c>
      <c r="P433" s="6" t="s">
        <v>27</v>
      </c>
      <c r="Q433" s="6" t="s">
        <v>510</v>
      </c>
      <c r="R433" s="4" t="s">
        <v>146</v>
      </c>
      <c r="S433" s="6" t="s">
        <v>29</v>
      </c>
      <c r="T433" s="6" t="s">
        <v>36</v>
      </c>
    </row>
    <row r="434" spans="1:20" x14ac:dyDescent="0.35">
      <c r="A434" s="4">
        <v>44177</v>
      </c>
      <c r="B434" s="5">
        <f t="shared" si="30"/>
        <v>2020</v>
      </c>
      <c r="C434" s="5">
        <f t="shared" si="31"/>
        <v>12</v>
      </c>
      <c r="D434" s="5">
        <f t="shared" si="32"/>
        <v>12</v>
      </c>
      <c r="E434" s="5" t="str">
        <f t="shared" si="33"/>
        <v>December</v>
      </c>
      <c r="F434" s="6" t="s">
        <v>508</v>
      </c>
      <c r="G434" s="6" t="s">
        <v>509</v>
      </c>
      <c r="H434" s="6" t="s">
        <v>340</v>
      </c>
      <c r="I434" s="6" t="s">
        <v>341</v>
      </c>
      <c r="J434" s="6" t="s">
        <v>150</v>
      </c>
      <c r="K434" s="6" t="s">
        <v>242</v>
      </c>
      <c r="L434" s="6" t="s">
        <v>344</v>
      </c>
      <c r="M434" s="6">
        <v>1</v>
      </c>
      <c r="N434" s="6">
        <v>1</v>
      </c>
      <c r="O434" s="7">
        <f t="shared" si="34"/>
        <v>1</v>
      </c>
      <c r="P434" s="6" t="s">
        <v>27</v>
      </c>
      <c r="Q434" s="6" t="s">
        <v>510</v>
      </c>
      <c r="R434" s="4" t="s">
        <v>146</v>
      </c>
      <c r="S434" s="6" t="s">
        <v>29</v>
      </c>
      <c r="T434" s="6" t="s">
        <v>36</v>
      </c>
    </row>
    <row r="435" spans="1:20" x14ac:dyDescent="0.35">
      <c r="A435" s="4">
        <v>44177</v>
      </c>
      <c r="B435" s="5">
        <f t="shared" si="30"/>
        <v>2020</v>
      </c>
      <c r="C435" s="5">
        <f t="shared" si="31"/>
        <v>12</v>
      </c>
      <c r="D435" s="5">
        <f t="shared" si="32"/>
        <v>12</v>
      </c>
      <c r="E435" s="5" t="str">
        <f t="shared" si="33"/>
        <v>December</v>
      </c>
      <c r="F435" s="6" t="s">
        <v>508</v>
      </c>
      <c r="G435" s="6" t="s">
        <v>509</v>
      </c>
      <c r="H435" s="6" t="s">
        <v>340</v>
      </c>
      <c r="I435" s="6" t="s">
        <v>341</v>
      </c>
      <c r="J435" s="6" t="s">
        <v>150</v>
      </c>
      <c r="K435" s="6" t="s">
        <v>242</v>
      </c>
      <c r="L435" s="6" t="s">
        <v>342</v>
      </c>
      <c r="M435" s="6">
        <v>5</v>
      </c>
      <c r="N435" s="7">
        <v>1500</v>
      </c>
      <c r="O435" s="7">
        <f t="shared" si="34"/>
        <v>7500</v>
      </c>
      <c r="P435" s="6" t="s">
        <v>27</v>
      </c>
      <c r="Q435" s="6" t="s">
        <v>510</v>
      </c>
      <c r="R435" s="4" t="s">
        <v>146</v>
      </c>
      <c r="S435" s="6" t="s">
        <v>29</v>
      </c>
      <c r="T435" s="6"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A840-96DE-4CD3-8BFC-0A79D87A2630}">
  <dimension ref="A1:AA56"/>
  <sheetViews>
    <sheetView showGridLines="0" tabSelected="1" zoomScale="32" zoomScaleNormal="48" workbookViewId="0">
      <selection activeCell="AV55" sqref="AV55"/>
    </sheetView>
  </sheetViews>
  <sheetFormatPr defaultRowHeight="14.5" x14ac:dyDescent="0.35"/>
  <sheetData>
    <row r="1" spans="1:27" ht="45.5" customHeight="1" x14ac:dyDescent="0.35">
      <c r="A1" s="17"/>
      <c r="B1" s="17"/>
      <c r="C1" s="17"/>
      <c r="D1" s="17"/>
      <c r="E1" s="17"/>
      <c r="F1" s="17"/>
      <c r="G1" s="17"/>
      <c r="H1" s="17"/>
      <c r="I1" s="17"/>
      <c r="J1" s="17"/>
      <c r="K1" s="17"/>
      <c r="L1" s="17"/>
      <c r="M1" s="18" t="s">
        <v>540</v>
      </c>
      <c r="N1" s="17"/>
      <c r="O1" s="17"/>
      <c r="P1" s="17"/>
      <c r="Q1" s="17"/>
      <c r="R1" s="17"/>
      <c r="S1" s="17"/>
      <c r="T1" s="17"/>
      <c r="U1" s="17"/>
      <c r="V1" s="17"/>
      <c r="W1" s="17"/>
      <c r="X1" s="17"/>
      <c r="Y1" s="17"/>
      <c r="Z1" s="17"/>
      <c r="AA1" s="17"/>
    </row>
    <row r="2" spans="1:27" x14ac:dyDescent="0.35">
      <c r="A2" s="16"/>
      <c r="B2" s="16"/>
      <c r="C2" s="16"/>
      <c r="D2" s="16"/>
      <c r="E2" s="16"/>
      <c r="F2" s="16"/>
      <c r="G2" s="16"/>
      <c r="H2" s="16"/>
      <c r="I2" s="16"/>
      <c r="J2" s="16"/>
      <c r="K2" s="16"/>
      <c r="L2" s="16"/>
      <c r="M2" s="16"/>
      <c r="N2" s="16"/>
      <c r="O2" s="16"/>
      <c r="P2" s="16"/>
      <c r="Q2" s="16"/>
      <c r="R2" s="16"/>
      <c r="S2" s="16"/>
      <c r="T2" s="16"/>
      <c r="U2" s="16"/>
      <c r="V2" s="16"/>
      <c r="W2" s="16"/>
      <c r="X2" s="16"/>
      <c r="Y2" s="16"/>
      <c r="Z2" s="16"/>
      <c r="AA2" s="16"/>
    </row>
    <row r="3" spans="1:27" x14ac:dyDescent="0.35">
      <c r="A3" s="16"/>
      <c r="B3" s="16"/>
      <c r="C3" s="16"/>
      <c r="D3" s="16"/>
      <c r="E3" s="16"/>
      <c r="F3" s="16"/>
      <c r="G3" s="16"/>
      <c r="H3" s="16"/>
      <c r="I3" s="16"/>
      <c r="J3" s="16"/>
      <c r="K3" s="16"/>
      <c r="L3" s="16"/>
      <c r="M3" s="16"/>
      <c r="N3" s="16"/>
      <c r="O3" s="16"/>
      <c r="P3" s="16"/>
      <c r="Q3" s="16"/>
      <c r="R3" s="16"/>
      <c r="S3" s="16"/>
      <c r="T3" s="16"/>
      <c r="U3" s="16"/>
      <c r="V3" s="16"/>
      <c r="W3" s="16"/>
      <c r="X3" s="16"/>
      <c r="Y3" s="16"/>
      <c r="Z3" s="16"/>
      <c r="AA3" s="16"/>
    </row>
    <row r="4" spans="1:27" x14ac:dyDescent="0.35">
      <c r="A4" s="16"/>
      <c r="B4" s="16"/>
      <c r="C4" s="16"/>
      <c r="D4" s="16"/>
      <c r="E4" s="16"/>
      <c r="F4" s="16"/>
      <c r="G4" s="16"/>
      <c r="H4" s="16"/>
      <c r="I4" s="16"/>
      <c r="J4" s="16"/>
      <c r="K4" s="16"/>
      <c r="L4" s="16"/>
      <c r="M4" s="16"/>
      <c r="N4" s="16"/>
      <c r="O4" s="16"/>
      <c r="P4" s="16"/>
      <c r="Q4" s="16"/>
      <c r="R4" s="16"/>
      <c r="S4" s="16"/>
      <c r="T4" s="16"/>
      <c r="U4" s="16"/>
      <c r="V4" s="16"/>
      <c r="W4" s="16"/>
      <c r="X4" s="16"/>
      <c r="Y4" s="16"/>
      <c r="Z4" s="16"/>
      <c r="AA4" s="16"/>
    </row>
    <row r="5" spans="1:27" x14ac:dyDescent="0.35">
      <c r="A5" s="16"/>
      <c r="B5" s="16"/>
      <c r="C5" s="16"/>
      <c r="D5" s="16"/>
      <c r="E5" s="16"/>
      <c r="F5" s="16"/>
      <c r="G5" s="16"/>
      <c r="H5" s="16"/>
      <c r="I5" s="16"/>
      <c r="J5" s="16"/>
      <c r="K5" s="16"/>
      <c r="L5" s="16"/>
      <c r="M5" s="16"/>
      <c r="N5" s="16"/>
      <c r="O5" s="16"/>
      <c r="P5" s="16"/>
      <c r="Q5" s="16"/>
      <c r="R5" s="16"/>
      <c r="S5" s="16"/>
      <c r="T5" s="16"/>
      <c r="U5" s="16"/>
      <c r="V5" s="16"/>
      <c r="W5" s="16"/>
      <c r="X5" s="16"/>
      <c r="Y5" s="16"/>
      <c r="Z5" s="16"/>
      <c r="AA5" s="16"/>
    </row>
    <row r="6" spans="1:27" x14ac:dyDescent="0.35">
      <c r="A6" s="16"/>
      <c r="B6" s="16"/>
      <c r="C6" s="16"/>
      <c r="D6" s="16"/>
      <c r="E6" s="16"/>
      <c r="F6" s="16"/>
      <c r="G6" s="16"/>
      <c r="H6" s="16"/>
      <c r="I6" s="16"/>
      <c r="J6" s="16"/>
      <c r="K6" s="16"/>
      <c r="L6" s="16"/>
      <c r="M6" s="16"/>
      <c r="N6" s="16"/>
      <c r="O6" s="16"/>
      <c r="P6" s="16"/>
      <c r="Q6" s="16"/>
      <c r="R6" s="16"/>
      <c r="S6" s="16"/>
      <c r="T6" s="16"/>
      <c r="U6" s="16"/>
      <c r="V6" s="16"/>
      <c r="W6" s="16"/>
      <c r="X6" s="16"/>
      <c r="Y6" s="16"/>
      <c r="Z6" s="16"/>
      <c r="AA6" s="16"/>
    </row>
    <row r="7" spans="1:27" x14ac:dyDescent="0.35">
      <c r="A7" s="16"/>
      <c r="B7" s="16"/>
      <c r="C7" s="16"/>
      <c r="D7" s="16"/>
      <c r="E7" s="16"/>
      <c r="F7" s="16"/>
      <c r="G7" s="16"/>
      <c r="H7" s="16"/>
      <c r="I7" s="16"/>
      <c r="J7" s="16"/>
      <c r="K7" s="16"/>
      <c r="L7" s="16"/>
      <c r="M7" s="16"/>
      <c r="N7" s="16"/>
      <c r="O7" s="16"/>
      <c r="P7" s="16"/>
      <c r="Q7" s="16"/>
      <c r="R7" s="16"/>
      <c r="S7" s="16"/>
      <c r="T7" s="16"/>
      <c r="U7" s="16"/>
      <c r="V7" s="16"/>
      <c r="W7" s="16"/>
      <c r="X7" s="16"/>
      <c r="Y7" s="16"/>
      <c r="Z7" s="16"/>
      <c r="AA7" s="16"/>
    </row>
    <row r="8" spans="1:27" x14ac:dyDescent="0.35">
      <c r="A8" s="16"/>
      <c r="B8" s="16"/>
      <c r="C8" s="16"/>
      <c r="D8" s="16"/>
      <c r="E8" s="16"/>
      <c r="F8" s="16"/>
      <c r="G8" s="16"/>
      <c r="H8" s="16"/>
      <c r="I8" s="16"/>
      <c r="J8" s="16"/>
      <c r="K8" s="16"/>
      <c r="L8" s="16"/>
      <c r="M8" s="16"/>
      <c r="N8" s="16"/>
      <c r="O8" s="16"/>
      <c r="P8" s="16"/>
      <c r="Q8" s="16"/>
      <c r="R8" s="16"/>
      <c r="S8" s="16"/>
      <c r="T8" s="16"/>
      <c r="U8" s="16"/>
      <c r="V8" s="16"/>
      <c r="W8" s="16"/>
      <c r="X8" s="16"/>
      <c r="Y8" s="16"/>
      <c r="Z8" s="16"/>
      <c r="AA8" s="16"/>
    </row>
    <row r="9" spans="1:27" x14ac:dyDescent="0.35">
      <c r="A9" s="16"/>
      <c r="B9" s="16"/>
      <c r="C9" s="16"/>
      <c r="D9" s="16"/>
      <c r="E9" s="16"/>
      <c r="F9" s="16"/>
      <c r="G9" s="16"/>
      <c r="H9" s="16"/>
      <c r="I9" s="16"/>
      <c r="J9" s="16"/>
      <c r="K9" s="16"/>
      <c r="L9" s="16"/>
      <c r="M9" s="16"/>
      <c r="N9" s="16"/>
      <c r="O9" s="16"/>
      <c r="P9" s="16"/>
      <c r="Q9" s="16"/>
      <c r="R9" s="16"/>
      <c r="S9" s="16"/>
      <c r="T9" s="16"/>
      <c r="U9" s="16"/>
      <c r="V9" s="16"/>
      <c r="W9" s="16"/>
      <c r="X9" s="16"/>
      <c r="Y9" s="16"/>
      <c r="Z9" s="16"/>
      <c r="AA9" s="1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row>
    <row r="11" spans="1:27" x14ac:dyDescent="0.3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row>
    <row r="12" spans="1:27" x14ac:dyDescent="0.3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row>
    <row r="13" spans="1:27" x14ac:dyDescent="0.3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row>
    <row r="14" spans="1:27" x14ac:dyDescent="0.3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row>
    <row r="15" spans="1:27" x14ac:dyDescent="0.3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row>
    <row r="16" spans="1:27" x14ac:dyDescent="0.3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row>
    <row r="17" spans="1:27" x14ac:dyDescent="0.3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row>
    <row r="18" spans="1:27" x14ac:dyDescent="0.3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row>
    <row r="19" spans="1:27" x14ac:dyDescent="0.3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row>
    <row r="20" spans="1:27" x14ac:dyDescent="0.3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row>
    <row r="21" spans="1:27" x14ac:dyDescent="0.3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row>
    <row r="22" spans="1:27" x14ac:dyDescent="0.3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row>
    <row r="23" spans="1:27" x14ac:dyDescent="0.3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row>
    <row r="24" spans="1:27" x14ac:dyDescent="0.3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row>
    <row r="25" spans="1:27" x14ac:dyDescent="0.3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row>
    <row r="26" spans="1:27" x14ac:dyDescent="0.3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row>
    <row r="27" spans="1:27" x14ac:dyDescent="0.3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row>
    <row r="28" spans="1:27" x14ac:dyDescent="0.3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row>
    <row r="29" spans="1:27" x14ac:dyDescent="0.3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row>
    <row r="30" spans="1:27" x14ac:dyDescent="0.3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spans="1:27" x14ac:dyDescent="0.3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row>
    <row r="32" spans="1:27" x14ac:dyDescent="0.3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row>
    <row r="33" spans="1:27" x14ac:dyDescent="0.3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row>
    <row r="34" spans="1:27" x14ac:dyDescent="0.3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row>
    <row r="35" spans="1:27" x14ac:dyDescent="0.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row>
    <row r="36" spans="1:27" x14ac:dyDescent="0.3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row>
    <row r="37" spans="1:27" x14ac:dyDescent="0.3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row>
    <row r="38" spans="1:27" x14ac:dyDescent="0.3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row>
    <row r="39" spans="1:27" x14ac:dyDescent="0.3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row>
    <row r="40" spans="1:27" x14ac:dyDescent="0.3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row>
    <row r="41" spans="1:27" x14ac:dyDescent="0.3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row>
    <row r="42" spans="1:27" x14ac:dyDescent="0.3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row>
    <row r="43" spans="1:27" x14ac:dyDescent="0.3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row>
    <row r="44" spans="1:27" x14ac:dyDescent="0.3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x14ac:dyDescent="0.3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spans="1:27" x14ac:dyDescent="0.3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spans="1:27" x14ac:dyDescent="0.3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spans="1:27" x14ac:dyDescent="0.3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spans="1:27" x14ac:dyDescent="0.3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spans="1:27" x14ac:dyDescent="0.3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spans="1:27" x14ac:dyDescent="0.3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spans="1:27" x14ac:dyDescent="0.3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spans="1:27" x14ac:dyDescent="0.3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spans="1:27" x14ac:dyDescent="0.3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spans="1:27" x14ac:dyDescent="0.3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spans="1:27" x14ac:dyDescent="0.3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E1064-6826-48B9-91BE-682B1EEC309E}">
  <dimension ref="B1:C17"/>
  <sheetViews>
    <sheetView workbookViewId="0"/>
  </sheetViews>
  <sheetFormatPr defaultRowHeight="14.5" x14ac:dyDescent="0.35"/>
  <cols>
    <col min="1" max="2" width="12.453125" bestFit="1" customWidth="1"/>
    <col min="3" max="3" width="11.54296875" bestFit="1" customWidth="1"/>
  </cols>
  <sheetData>
    <row r="1" spans="2:3" ht="33" customHeight="1" x14ac:dyDescent="0.35">
      <c r="B1" s="14" t="s">
        <v>541</v>
      </c>
      <c r="C1" s="14"/>
    </row>
    <row r="4" spans="2:3" x14ac:dyDescent="0.35">
      <c r="B4" s="11" t="s">
        <v>513</v>
      </c>
      <c r="C4" t="s">
        <v>527</v>
      </c>
    </row>
    <row r="5" spans="2:3" x14ac:dyDescent="0.35">
      <c r="B5" s="12" t="s">
        <v>515</v>
      </c>
      <c r="C5" s="13">
        <v>754010</v>
      </c>
    </row>
    <row r="6" spans="2:3" x14ac:dyDescent="0.35">
      <c r="B6" s="12" t="s">
        <v>516</v>
      </c>
      <c r="C6" s="13">
        <v>1321120</v>
      </c>
    </row>
    <row r="7" spans="2:3" x14ac:dyDescent="0.35">
      <c r="B7" s="12" t="s">
        <v>517</v>
      </c>
      <c r="C7" s="13">
        <v>555440</v>
      </c>
    </row>
    <row r="8" spans="2:3" x14ac:dyDescent="0.35">
      <c r="B8" s="12" t="s">
        <v>518</v>
      </c>
      <c r="C8" s="13">
        <v>1485750</v>
      </c>
    </row>
    <row r="9" spans="2:3" x14ac:dyDescent="0.35">
      <c r="B9" s="12" t="s">
        <v>519</v>
      </c>
      <c r="C9" s="13">
        <v>381740</v>
      </c>
    </row>
    <row r="10" spans="2:3" x14ac:dyDescent="0.35">
      <c r="B10" s="12" t="s">
        <v>520</v>
      </c>
      <c r="C10" s="13">
        <v>94240</v>
      </c>
    </row>
    <row r="11" spans="2:3" x14ac:dyDescent="0.35">
      <c r="B11" s="12" t="s">
        <v>521</v>
      </c>
      <c r="C11" s="13">
        <v>495271</v>
      </c>
    </row>
    <row r="12" spans="2:3" x14ac:dyDescent="0.35">
      <c r="B12" s="12" t="s">
        <v>522</v>
      </c>
      <c r="C12" s="13">
        <v>538921</v>
      </c>
    </row>
    <row r="13" spans="2:3" x14ac:dyDescent="0.35">
      <c r="B13" s="12" t="s">
        <v>523</v>
      </c>
      <c r="C13" s="13">
        <v>428179</v>
      </c>
    </row>
    <row r="14" spans="2:3" x14ac:dyDescent="0.35">
      <c r="B14" s="12" t="s">
        <v>524</v>
      </c>
      <c r="C14" s="13">
        <v>749008</v>
      </c>
    </row>
    <row r="15" spans="2:3" x14ac:dyDescent="0.35">
      <c r="B15" s="12" t="s">
        <v>525</v>
      </c>
      <c r="C15" s="13">
        <v>954439.5</v>
      </c>
    </row>
    <row r="16" spans="2:3" x14ac:dyDescent="0.35">
      <c r="B16" s="12" t="s">
        <v>526</v>
      </c>
      <c r="C16" s="13">
        <v>326586</v>
      </c>
    </row>
    <row r="17" spans="2:3" x14ac:dyDescent="0.35">
      <c r="B17" s="12" t="s">
        <v>514</v>
      </c>
      <c r="C17" s="13">
        <v>8084704.5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763C2-859C-48DF-8677-62F747AD5487}">
  <dimension ref="A1:S36"/>
  <sheetViews>
    <sheetView workbookViewId="0"/>
  </sheetViews>
  <sheetFormatPr defaultRowHeight="14.5" x14ac:dyDescent="0.35"/>
  <cols>
    <col min="1" max="1" width="12.453125" bestFit="1" customWidth="1"/>
    <col min="2" max="2" width="24.54296875" bestFit="1" customWidth="1"/>
    <col min="3" max="3" width="11.54296875" bestFit="1" customWidth="1"/>
    <col min="15" max="15" width="24.54296875" bestFit="1" customWidth="1"/>
    <col min="16" max="16" width="23.36328125" bestFit="1" customWidth="1"/>
    <col min="18" max="18" width="24.54296875" bestFit="1" customWidth="1"/>
    <col min="19" max="19" width="22.08984375" bestFit="1" customWidth="1"/>
  </cols>
  <sheetData>
    <row r="1" spans="1:19" ht="33" customHeight="1" x14ac:dyDescent="0.35">
      <c r="A1" s="19"/>
      <c r="B1" s="14" t="s">
        <v>528</v>
      </c>
      <c r="C1" s="14"/>
    </row>
    <row r="4" spans="1:19" x14ac:dyDescent="0.35">
      <c r="B4" s="11" t="s">
        <v>513</v>
      </c>
      <c r="C4" t="s">
        <v>527</v>
      </c>
    </row>
    <row r="5" spans="1:19" x14ac:dyDescent="0.35">
      <c r="B5" s="12" t="s">
        <v>299</v>
      </c>
      <c r="C5" s="13">
        <v>7040</v>
      </c>
      <c r="O5" s="11" t="s">
        <v>513</v>
      </c>
      <c r="P5" t="s">
        <v>537</v>
      </c>
      <c r="R5" s="11" t="s">
        <v>513</v>
      </c>
      <c r="S5" t="s">
        <v>539</v>
      </c>
    </row>
    <row r="6" spans="1:19" x14ac:dyDescent="0.35">
      <c r="B6" s="12" t="s">
        <v>355</v>
      </c>
      <c r="C6" s="13">
        <v>7500</v>
      </c>
      <c r="O6" s="12" t="s">
        <v>114</v>
      </c>
      <c r="P6">
        <v>2</v>
      </c>
      <c r="R6" s="12" t="s">
        <v>114</v>
      </c>
      <c r="S6">
        <v>1</v>
      </c>
    </row>
    <row r="7" spans="1:19" x14ac:dyDescent="0.35">
      <c r="B7" s="12" t="s">
        <v>114</v>
      </c>
      <c r="C7" s="13">
        <v>11400</v>
      </c>
      <c r="O7" s="12" t="s">
        <v>241</v>
      </c>
      <c r="P7">
        <v>3</v>
      </c>
      <c r="R7" s="12" t="s">
        <v>241</v>
      </c>
      <c r="S7">
        <v>1</v>
      </c>
    </row>
    <row r="8" spans="1:19" x14ac:dyDescent="0.35">
      <c r="B8" s="12" t="s">
        <v>100</v>
      </c>
      <c r="C8" s="13">
        <v>17500</v>
      </c>
      <c r="O8" s="12" t="s">
        <v>355</v>
      </c>
      <c r="P8">
        <v>1</v>
      </c>
      <c r="R8" s="12" t="s">
        <v>355</v>
      </c>
      <c r="S8">
        <v>1</v>
      </c>
    </row>
    <row r="9" spans="1:19" x14ac:dyDescent="0.35">
      <c r="B9" s="12" t="s">
        <v>288</v>
      </c>
      <c r="C9" s="13">
        <v>21200</v>
      </c>
      <c r="O9" s="12" t="s">
        <v>192</v>
      </c>
      <c r="P9">
        <v>16</v>
      </c>
      <c r="R9" s="12" t="s">
        <v>192</v>
      </c>
      <c r="S9">
        <v>1</v>
      </c>
    </row>
    <row r="10" spans="1:19" x14ac:dyDescent="0.35">
      <c r="B10" s="12" t="s">
        <v>383</v>
      </c>
      <c r="C10" s="13">
        <v>21700</v>
      </c>
      <c r="O10" s="12" t="s">
        <v>294</v>
      </c>
      <c r="P10">
        <v>4</v>
      </c>
      <c r="R10" s="12" t="s">
        <v>294</v>
      </c>
      <c r="S10">
        <v>1</v>
      </c>
    </row>
    <row r="11" spans="1:19" x14ac:dyDescent="0.35">
      <c r="B11" s="12" t="s">
        <v>281</v>
      </c>
      <c r="C11" s="13">
        <v>23100</v>
      </c>
      <c r="O11" s="12" t="s">
        <v>129</v>
      </c>
      <c r="P11">
        <v>1</v>
      </c>
      <c r="R11" s="12" t="s">
        <v>129</v>
      </c>
      <c r="S11">
        <v>1</v>
      </c>
    </row>
    <row r="12" spans="1:19" x14ac:dyDescent="0.35">
      <c r="B12" s="12" t="s">
        <v>129</v>
      </c>
      <c r="C12" s="13">
        <v>24600</v>
      </c>
      <c r="O12" s="12" t="s">
        <v>165</v>
      </c>
      <c r="P12">
        <v>16</v>
      </c>
      <c r="R12" s="12" t="s">
        <v>165</v>
      </c>
      <c r="S12">
        <v>1</v>
      </c>
    </row>
    <row r="13" spans="1:19" x14ac:dyDescent="0.35">
      <c r="B13" s="12" t="s">
        <v>294</v>
      </c>
      <c r="C13" s="13">
        <v>30600</v>
      </c>
      <c r="O13" s="12" t="s">
        <v>365</v>
      </c>
      <c r="P13">
        <v>11</v>
      </c>
      <c r="R13" s="12" t="s">
        <v>365</v>
      </c>
      <c r="S13">
        <v>1</v>
      </c>
    </row>
    <row r="14" spans="1:19" x14ac:dyDescent="0.35">
      <c r="B14" s="12" t="s">
        <v>195</v>
      </c>
      <c r="C14" s="13">
        <v>33000</v>
      </c>
      <c r="O14" s="12" t="s">
        <v>201</v>
      </c>
      <c r="P14">
        <v>39</v>
      </c>
      <c r="R14" s="12" t="s">
        <v>201</v>
      </c>
      <c r="S14">
        <v>1</v>
      </c>
    </row>
    <row r="15" spans="1:19" x14ac:dyDescent="0.35">
      <c r="B15" s="12" t="s">
        <v>241</v>
      </c>
      <c r="C15" s="13">
        <v>35700</v>
      </c>
      <c r="O15" s="12" t="s">
        <v>286</v>
      </c>
      <c r="P15">
        <v>8</v>
      </c>
      <c r="R15" s="12" t="s">
        <v>286</v>
      </c>
      <c r="S15">
        <v>1</v>
      </c>
    </row>
    <row r="16" spans="1:19" x14ac:dyDescent="0.35">
      <c r="B16" s="12" t="s">
        <v>341</v>
      </c>
      <c r="C16" s="13">
        <v>40517</v>
      </c>
      <c r="O16" s="12" t="s">
        <v>220</v>
      </c>
      <c r="P16">
        <v>16</v>
      </c>
      <c r="R16" s="12" t="s">
        <v>220</v>
      </c>
      <c r="S16">
        <v>1</v>
      </c>
    </row>
    <row r="17" spans="2:19" x14ac:dyDescent="0.35">
      <c r="B17" s="12" t="s">
        <v>69</v>
      </c>
      <c r="C17" s="13">
        <v>42300</v>
      </c>
      <c r="O17" s="12" t="s">
        <v>383</v>
      </c>
      <c r="P17">
        <v>4</v>
      </c>
      <c r="R17" s="12" t="s">
        <v>383</v>
      </c>
      <c r="S17">
        <v>1</v>
      </c>
    </row>
    <row r="18" spans="2:19" x14ac:dyDescent="0.35">
      <c r="B18" s="12" t="s">
        <v>45</v>
      </c>
      <c r="C18" s="13">
        <v>48700</v>
      </c>
      <c r="O18" s="12" t="s">
        <v>195</v>
      </c>
      <c r="P18">
        <v>3</v>
      </c>
      <c r="R18" s="12" t="s">
        <v>195</v>
      </c>
      <c r="S18">
        <v>1</v>
      </c>
    </row>
    <row r="19" spans="2:19" x14ac:dyDescent="0.35">
      <c r="B19" s="12" t="s">
        <v>365</v>
      </c>
      <c r="C19" s="13">
        <v>73500</v>
      </c>
      <c r="O19" s="12" t="s">
        <v>299</v>
      </c>
      <c r="P19">
        <v>1</v>
      </c>
      <c r="R19" s="12" t="s">
        <v>299</v>
      </c>
      <c r="S19">
        <v>1</v>
      </c>
    </row>
    <row r="20" spans="2:19" x14ac:dyDescent="0.35">
      <c r="B20" s="12" t="s">
        <v>49</v>
      </c>
      <c r="C20" s="13">
        <v>77700</v>
      </c>
      <c r="O20" s="12" t="s">
        <v>341</v>
      </c>
      <c r="P20">
        <v>21</v>
      </c>
      <c r="R20" s="12" t="s">
        <v>341</v>
      </c>
      <c r="S20">
        <v>1</v>
      </c>
    </row>
    <row r="21" spans="2:19" x14ac:dyDescent="0.35">
      <c r="B21" s="12" t="s">
        <v>106</v>
      </c>
      <c r="C21" s="13">
        <v>92650</v>
      </c>
      <c r="O21" s="12" t="s">
        <v>49</v>
      </c>
      <c r="P21">
        <v>4</v>
      </c>
      <c r="R21" s="12" t="s">
        <v>49</v>
      </c>
      <c r="S21">
        <v>1</v>
      </c>
    </row>
    <row r="22" spans="2:19" x14ac:dyDescent="0.35">
      <c r="B22" s="12" t="s">
        <v>268</v>
      </c>
      <c r="C22" s="13">
        <v>106600</v>
      </c>
      <c r="O22" s="12" t="s">
        <v>69</v>
      </c>
      <c r="P22">
        <v>4</v>
      </c>
      <c r="R22" s="12" t="s">
        <v>69</v>
      </c>
      <c r="S22">
        <v>1</v>
      </c>
    </row>
    <row r="23" spans="2:19" x14ac:dyDescent="0.35">
      <c r="B23" s="12" t="s">
        <v>169</v>
      </c>
      <c r="C23" s="13">
        <v>111000</v>
      </c>
      <c r="O23" s="12" t="s">
        <v>23</v>
      </c>
      <c r="P23">
        <v>8</v>
      </c>
      <c r="R23" s="12" t="s">
        <v>23</v>
      </c>
      <c r="S23">
        <v>1</v>
      </c>
    </row>
    <row r="24" spans="2:19" x14ac:dyDescent="0.35">
      <c r="B24" s="12" t="s">
        <v>286</v>
      </c>
      <c r="C24" s="13">
        <v>162160</v>
      </c>
      <c r="O24" s="12" t="s">
        <v>40</v>
      </c>
      <c r="P24">
        <v>10</v>
      </c>
      <c r="R24" s="12" t="s">
        <v>40</v>
      </c>
      <c r="S24">
        <v>1</v>
      </c>
    </row>
    <row r="25" spans="2:19" x14ac:dyDescent="0.35">
      <c r="B25" s="12" t="s">
        <v>177</v>
      </c>
      <c r="C25" s="13">
        <v>164500</v>
      </c>
      <c r="O25" s="12" t="s">
        <v>45</v>
      </c>
      <c r="P25">
        <v>2</v>
      </c>
      <c r="R25" s="12" t="s">
        <v>45</v>
      </c>
      <c r="S25">
        <v>1</v>
      </c>
    </row>
    <row r="26" spans="2:19" x14ac:dyDescent="0.35">
      <c r="B26" s="12" t="s">
        <v>40</v>
      </c>
      <c r="C26" s="13">
        <v>201600</v>
      </c>
      <c r="O26" s="12" t="s">
        <v>281</v>
      </c>
      <c r="P26">
        <v>4</v>
      </c>
      <c r="R26" s="12" t="s">
        <v>281</v>
      </c>
      <c r="S26">
        <v>1</v>
      </c>
    </row>
    <row r="27" spans="2:19" x14ac:dyDescent="0.35">
      <c r="B27" s="12" t="s">
        <v>23</v>
      </c>
      <c r="C27" s="13">
        <v>263800</v>
      </c>
      <c r="O27" s="12" t="s">
        <v>177</v>
      </c>
      <c r="P27">
        <v>21</v>
      </c>
      <c r="R27" s="12" t="s">
        <v>177</v>
      </c>
      <c r="S27">
        <v>1</v>
      </c>
    </row>
    <row r="28" spans="2:19" x14ac:dyDescent="0.35">
      <c r="B28" s="12" t="s">
        <v>172</v>
      </c>
      <c r="C28" s="13">
        <v>280220</v>
      </c>
      <c r="O28" s="12" t="s">
        <v>288</v>
      </c>
      <c r="P28">
        <v>1</v>
      </c>
      <c r="R28" s="12" t="s">
        <v>288</v>
      </c>
      <c r="S28">
        <v>1</v>
      </c>
    </row>
    <row r="29" spans="2:19" x14ac:dyDescent="0.35">
      <c r="B29" s="12" t="s">
        <v>192</v>
      </c>
      <c r="C29" s="13">
        <v>411850</v>
      </c>
      <c r="O29" s="12" t="s">
        <v>156</v>
      </c>
      <c r="P29">
        <v>30</v>
      </c>
      <c r="R29" s="12" t="s">
        <v>156</v>
      </c>
      <c r="S29">
        <v>1</v>
      </c>
    </row>
    <row r="30" spans="2:19" x14ac:dyDescent="0.35">
      <c r="B30" s="12" t="s">
        <v>220</v>
      </c>
      <c r="C30" s="13">
        <v>437400</v>
      </c>
      <c r="O30" s="12" t="s">
        <v>149</v>
      </c>
      <c r="P30">
        <v>72</v>
      </c>
      <c r="R30" s="12" t="s">
        <v>149</v>
      </c>
      <c r="S30">
        <v>1</v>
      </c>
    </row>
    <row r="31" spans="2:19" x14ac:dyDescent="0.35">
      <c r="B31" s="12" t="s">
        <v>165</v>
      </c>
      <c r="C31" s="13">
        <v>449750</v>
      </c>
      <c r="O31" s="12" t="s">
        <v>169</v>
      </c>
      <c r="P31">
        <v>10</v>
      </c>
      <c r="R31" s="12" t="s">
        <v>169</v>
      </c>
      <c r="S31">
        <v>1</v>
      </c>
    </row>
    <row r="32" spans="2:19" x14ac:dyDescent="0.35">
      <c r="B32" s="12" t="s">
        <v>156</v>
      </c>
      <c r="C32" s="13">
        <v>761412.5</v>
      </c>
      <c r="O32" s="12" t="s">
        <v>172</v>
      </c>
      <c r="P32">
        <v>25</v>
      </c>
      <c r="R32" s="12" t="s">
        <v>172</v>
      </c>
      <c r="S32">
        <v>1</v>
      </c>
    </row>
    <row r="33" spans="2:19" x14ac:dyDescent="0.35">
      <c r="B33" s="12" t="s">
        <v>201</v>
      </c>
      <c r="C33" s="13">
        <v>1613665</v>
      </c>
      <c r="O33" s="12" t="s">
        <v>106</v>
      </c>
      <c r="P33">
        <v>11</v>
      </c>
      <c r="R33" s="12" t="s">
        <v>106</v>
      </c>
      <c r="S33">
        <v>1</v>
      </c>
    </row>
    <row r="34" spans="2:19" x14ac:dyDescent="0.35">
      <c r="B34" s="12" t="s">
        <v>149</v>
      </c>
      <c r="C34" s="13">
        <v>2512040</v>
      </c>
      <c r="O34" s="12" t="s">
        <v>100</v>
      </c>
      <c r="P34">
        <v>1</v>
      </c>
      <c r="R34" s="12" t="s">
        <v>100</v>
      </c>
      <c r="S34">
        <v>1</v>
      </c>
    </row>
    <row r="35" spans="2:19" x14ac:dyDescent="0.35">
      <c r="B35" s="12" t="s">
        <v>514</v>
      </c>
      <c r="C35" s="13">
        <v>8084704.5</v>
      </c>
      <c r="O35" s="12" t="s">
        <v>268</v>
      </c>
      <c r="P35">
        <v>11</v>
      </c>
      <c r="R35" s="12" t="s">
        <v>268</v>
      </c>
      <c r="S35">
        <v>1</v>
      </c>
    </row>
    <row r="36" spans="2:19" x14ac:dyDescent="0.35">
      <c r="O36" s="12" t="s">
        <v>514</v>
      </c>
      <c r="P36">
        <v>171</v>
      </c>
      <c r="R36" s="12" t="s">
        <v>514</v>
      </c>
      <c r="S36">
        <v>30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E94BE-0C22-448E-ABA5-C92C9959371E}">
  <dimension ref="B1:C19"/>
  <sheetViews>
    <sheetView workbookViewId="0"/>
  </sheetViews>
  <sheetFormatPr defaultRowHeight="14.5" x14ac:dyDescent="0.35"/>
  <cols>
    <col min="1" max="1" width="12.453125" bestFit="1" customWidth="1"/>
    <col min="2" max="2" width="17.1796875" bestFit="1" customWidth="1"/>
    <col min="3" max="3" width="11.54296875" bestFit="1" customWidth="1"/>
  </cols>
  <sheetData>
    <row r="1" spans="2:3" ht="33" customHeight="1" x14ac:dyDescent="0.35">
      <c r="B1" s="14" t="s">
        <v>529</v>
      </c>
      <c r="C1" s="14"/>
    </row>
    <row r="4" spans="2:3" x14ac:dyDescent="0.35">
      <c r="B4" s="11" t="s">
        <v>513</v>
      </c>
      <c r="C4" t="s">
        <v>527</v>
      </c>
    </row>
    <row r="5" spans="2:3" x14ac:dyDescent="0.35">
      <c r="B5" s="12" t="s">
        <v>356</v>
      </c>
      <c r="C5" s="13">
        <v>7500</v>
      </c>
    </row>
    <row r="6" spans="2:3" x14ac:dyDescent="0.35">
      <c r="B6" s="12" t="s">
        <v>289</v>
      </c>
      <c r="C6" s="13">
        <v>21200</v>
      </c>
    </row>
    <row r="7" spans="2:3" x14ac:dyDescent="0.35">
      <c r="B7" s="12" t="s">
        <v>130</v>
      </c>
      <c r="C7" s="13">
        <v>24600</v>
      </c>
    </row>
    <row r="8" spans="2:3" x14ac:dyDescent="0.35">
      <c r="B8" s="12" t="s">
        <v>282</v>
      </c>
      <c r="C8" s="13">
        <v>30140</v>
      </c>
    </row>
    <row r="9" spans="2:3" x14ac:dyDescent="0.35">
      <c r="B9" s="12" t="s">
        <v>366</v>
      </c>
      <c r="C9" s="13">
        <v>73500</v>
      </c>
    </row>
    <row r="10" spans="2:3" x14ac:dyDescent="0.35">
      <c r="B10" s="12" t="s">
        <v>242</v>
      </c>
      <c r="C10" s="13">
        <v>76217</v>
      </c>
    </row>
    <row r="11" spans="2:3" x14ac:dyDescent="0.35">
      <c r="B11" s="12" t="s">
        <v>108</v>
      </c>
      <c r="C11" s="13">
        <v>104050</v>
      </c>
    </row>
    <row r="12" spans="2:3" x14ac:dyDescent="0.35">
      <c r="B12" s="12" t="s">
        <v>170</v>
      </c>
      <c r="C12" s="13">
        <v>111000</v>
      </c>
    </row>
    <row r="13" spans="2:3" x14ac:dyDescent="0.35">
      <c r="B13" s="12" t="s">
        <v>41</v>
      </c>
      <c r="C13" s="13">
        <v>267800</v>
      </c>
    </row>
    <row r="14" spans="2:3" x14ac:dyDescent="0.35">
      <c r="B14" s="12" t="s">
        <v>25</v>
      </c>
      <c r="C14" s="13">
        <v>383800</v>
      </c>
    </row>
    <row r="15" spans="2:3" x14ac:dyDescent="0.35">
      <c r="B15" s="12" t="s">
        <v>221</v>
      </c>
      <c r="C15" s="13">
        <v>437400</v>
      </c>
    </row>
    <row r="16" spans="2:3" x14ac:dyDescent="0.35">
      <c r="B16" s="12" t="s">
        <v>157</v>
      </c>
      <c r="C16" s="13">
        <v>978212.5</v>
      </c>
    </row>
    <row r="17" spans="2:3" x14ac:dyDescent="0.35">
      <c r="B17" s="12" t="s">
        <v>166</v>
      </c>
      <c r="C17" s="13">
        <v>2645395</v>
      </c>
    </row>
    <row r="18" spans="2:3" x14ac:dyDescent="0.35">
      <c r="B18" s="12" t="s">
        <v>151</v>
      </c>
      <c r="C18" s="13">
        <v>2923890</v>
      </c>
    </row>
    <row r="19" spans="2:3" x14ac:dyDescent="0.35">
      <c r="B19" s="12" t="s">
        <v>514</v>
      </c>
      <c r="C19" s="13">
        <v>8084704.5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1F9D0-6123-48A3-B3FA-009FC5620695}">
  <dimension ref="B1:C23"/>
  <sheetViews>
    <sheetView workbookViewId="0"/>
  </sheetViews>
  <sheetFormatPr defaultRowHeight="14.5" x14ac:dyDescent="0.35"/>
  <cols>
    <col min="1" max="1" width="12.453125" bestFit="1" customWidth="1"/>
    <col min="2" max="2" width="31.26953125" bestFit="1" customWidth="1"/>
    <col min="3" max="3" width="11.54296875" bestFit="1" customWidth="1"/>
  </cols>
  <sheetData>
    <row r="1" spans="2:3" ht="33" customHeight="1" x14ac:dyDescent="0.35">
      <c r="B1" s="14" t="s">
        <v>530</v>
      </c>
      <c r="C1" s="14"/>
    </row>
    <row r="4" spans="2:3" x14ac:dyDescent="0.35">
      <c r="B4" s="11" t="s">
        <v>513</v>
      </c>
      <c r="C4" t="s">
        <v>527</v>
      </c>
    </row>
    <row r="5" spans="2:3" x14ac:dyDescent="0.35">
      <c r="B5" s="12" t="s">
        <v>298</v>
      </c>
      <c r="C5" s="13">
        <v>7040</v>
      </c>
    </row>
    <row r="6" spans="2:3" x14ac:dyDescent="0.35">
      <c r="B6" s="12" t="s">
        <v>113</v>
      </c>
      <c r="C6" s="13">
        <v>11400</v>
      </c>
    </row>
    <row r="7" spans="2:3" x14ac:dyDescent="0.35">
      <c r="B7" s="12" t="s">
        <v>382</v>
      </c>
      <c r="C7" s="13">
        <v>21700</v>
      </c>
    </row>
    <row r="8" spans="2:3" x14ac:dyDescent="0.35">
      <c r="B8" s="12" t="s">
        <v>293</v>
      </c>
      <c r="C8" s="13">
        <v>30600</v>
      </c>
    </row>
    <row r="9" spans="2:3" x14ac:dyDescent="0.35">
      <c r="B9" s="12" t="s">
        <v>128</v>
      </c>
      <c r="C9" s="13">
        <v>32100</v>
      </c>
    </row>
    <row r="10" spans="2:3" x14ac:dyDescent="0.35">
      <c r="B10" s="12" t="s">
        <v>240</v>
      </c>
      <c r="C10" s="13">
        <v>35700</v>
      </c>
    </row>
    <row r="11" spans="2:3" x14ac:dyDescent="0.35">
      <c r="B11" s="12" t="s">
        <v>340</v>
      </c>
      <c r="C11" s="13">
        <v>40517</v>
      </c>
    </row>
    <row r="12" spans="2:3" x14ac:dyDescent="0.35">
      <c r="B12" s="12" t="s">
        <v>364</v>
      </c>
      <c r="C12" s="13">
        <v>73500</v>
      </c>
    </row>
    <row r="13" spans="2:3" x14ac:dyDescent="0.35">
      <c r="B13" s="12" t="s">
        <v>105</v>
      </c>
      <c r="C13" s="13">
        <v>92650</v>
      </c>
    </row>
    <row r="14" spans="2:3" x14ac:dyDescent="0.35">
      <c r="B14" s="12" t="s">
        <v>168</v>
      </c>
      <c r="C14" s="13">
        <v>111000</v>
      </c>
    </row>
    <row r="15" spans="2:3" x14ac:dyDescent="0.35">
      <c r="B15" s="12" t="s">
        <v>176</v>
      </c>
      <c r="C15" s="13">
        <v>187600</v>
      </c>
    </row>
    <row r="16" spans="2:3" x14ac:dyDescent="0.35">
      <c r="B16" s="12" t="s">
        <v>22</v>
      </c>
      <c r="C16" s="13">
        <v>383800</v>
      </c>
    </row>
    <row r="17" spans="2:3" x14ac:dyDescent="0.35">
      <c r="B17" s="12" t="s">
        <v>191</v>
      </c>
      <c r="C17" s="13">
        <v>411850</v>
      </c>
    </row>
    <row r="18" spans="2:3" x14ac:dyDescent="0.35">
      <c r="B18" s="12" t="s">
        <v>219</v>
      </c>
      <c r="C18" s="13">
        <v>437400</v>
      </c>
    </row>
    <row r="19" spans="2:3" x14ac:dyDescent="0.35">
      <c r="B19" s="12" t="s">
        <v>164</v>
      </c>
      <c r="C19" s="13">
        <v>482750</v>
      </c>
    </row>
    <row r="20" spans="2:3" x14ac:dyDescent="0.35">
      <c r="B20" s="12" t="s">
        <v>39</v>
      </c>
      <c r="C20" s="13">
        <v>588420</v>
      </c>
    </row>
    <row r="21" spans="2:3" x14ac:dyDescent="0.35">
      <c r="B21" s="12" t="s">
        <v>200</v>
      </c>
      <c r="C21" s="13">
        <v>1775825</v>
      </c>
    </row>
    <row r="22" spans="2:3" x14ac:dyDescent="0.35">
      <c r="B22" s="12" t="s">
        <v>44</v>
      </c>
      <c r="C22" s="13">
        <v>3360852.5</v>
      </c>
    </row>
    <row r="23" spans="2:3" x14ac:dyDescent="0.35">
      <c r="B23" s="12" t="s">
        <v>514</v>
      </c>
      <c r="C23" s="13">
        <v>8084704.5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EC367-65D0-4651-90A1-4372502BC9FD}">
  <dimension ref="B1:C15"/>
  <sheetViews>
    <sheetView zoomScale="78" workbookViewId="0"/>
  </sheetViews>
  <sheetFormatPr defaultRowHeight="14.5" x14ac:dyDescent="0.35"/>
  <cols>
    <col min="1" max="1" width="12.453125" bestFit="1" customWidth="1"/>
    <col min="2" max="2" width="41.54296875" bestFit="1" customWidth="1"/>
    <col min="3" max="3" width="12.1796875" bestFit="1" customWidth="1"/>
  </cols>
  <sheetData>
    <row r="1" spans="2:3" ht="33" customHeight="1" x14ac:dyDescent="0.35">
      <c r="B1" s="14" t="s">
        <v>532</v>
      </c>
      <c r="C1" s="14"/>
    </row>
    <row r="4" spans="2:3" x14ac:dyDescent="0.35">
      <c r="B4" s="11" t="s">
        <v>513</v>
      </c>
      <c r="C4" t="s">
        <v>527</v>
      </c>
    </row>
    <row r="5" spans="2:3" x14ac:dyDescent="0.35">
      <c r="B5" s="12" t="s">
        <v>190</v>
      </c>
      <c r="C5" s="13">
        <v>180900</v>
      </c>
    </row>
    <row r="6" spans="2:3" x14ac:dyDescent="0.35">
      <c r="B6" s="12" t="s">
        <v>42</v>
      </c>
      <c r="C6" s="13">
        <v>201600</v>
      </c>
    </row>
    <row r="7" spans="2:3" x14ac:dyDescent="0.35">
      <c r="B7" s="12" t="s">
        <v>211</v>
      </c>
      <c r="C7" s="13">
        <v>221000</v>
      </c>
    </row>
    <row r="8" spans="2:3" x14ac:dyDescent="0.35">
      <c r="B8" s="12" t="s">
        <v>213</v>
      </c>
      <c r="C8" s="13">
        <v>293250</v>
      </c>
    </row>
    <row r="9" spans="2:3" x14ac:dyDescent="0.35">
      <c r="B9" s="12" t="s">
        <v>158</v>
      </c>
      <c r="C9" s="13">
        <v>294275</v>
      </c>
    </row>
    <row r="10" spans="2:3" x14ac:dyDescent="0.35">
      <c r="B10" s="12" t="s">
        <v>193</v>
      </c>
      <c r="C10" s="13">
        <v>339375</v>
      </c>
    </row>
    <row r="11" spans="2:3" x14ac:dyDescent="0.35">
      <c r="B11" s="12" t="s">
        <v>247</v>
      </c>
      <c r="C11" s="13">
        <v>400087.5</v>
      </c>
    </row>
    <row r="12" spans="2:3" x14ac:dyDescent="0.35">
      <c r="B12" s="12" t="s">
        <v>152</v>
      </c>
      <c r="C12" s="13">
        <v>588000</v>
      </c>
    </row>
    <row r="13" spans="2:3" x14ac:dyDescent="0.35">
      <c r="B13" s="12" t="s">
        <v>206</v>
      </c>
      <c r="C13" s="13">
        <v>1154250</v>
      </c>
    </row>
    <row r="14" spans="2:3" x14ac:dyDescent="0.35">
      <c r="B14" s="12" t="s">
        <v>155</v>
      </c>
      <c r="C14" s="13">
        <v>1596240</v>
      </c>
    </row>
    <row r="15" spans="2:3" x14ac:dyDescent="0.35">
      <c r="B15" s="12" t="s">
        <v>514</v>
      </c>
      <c r="C15" s="13">
        <v>5268977.5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43478-8865-4203-9AFE-B9B9B48A4499}">
  <dimension ref="B1:R108"/>
  <sheetViews>
    <sheetView workbookViewId="0"/>
  </sheetViews>
  <sheetFormatPr defaultRowHeight="14.5" x14ac:dyDescent="0.35"/>
  <cols>
    <col min="1" max="1" width="12.453125" bestFit="1" customWidth="1"/>
    <col min="2" max="2" width="26.36328125" bestFit="1" customWidth="1"/>
    <col min="3" max="3" width="11.54296875" bestFit="1" customWidth="1"/>
    <col min="17" max="17" width="26.36328125" bestFit="1" customWidth="1"/>
    <col min="18" max="18" width="29.08984375" bestFit="1" customWidth="1"/>
  </cols>
  <sheetData>
    <row r="1" spans="2:18" ht="33" customHeight="1" x14ac:dyDescent="0.35">
      <c r="B1" s="14" t="s">
        <v>531</v>
      </c>
      <c r="C1" s="14"/>
    </row>
    <row r="3" spans="2:18" x14ac:dyDescent="0.35">
      <c r="Q3" s="11" t="s">
        <v>513</v>
      </c>
      <c r="R3" t="s">
        <v>536</v>
      </c>
    </row>
    <row r="4" spans="2:18" x14ac:dyDescent="0.35">
      <c r="B4" s="11" t="s">
        <v>513</v>
      </c>
      <c r="C4" t="s">
        <v>527</v>
      </c>
      <c r="Q4" s="12" t="s">
        <v>495</v>
      </c>
      <c r="R4">
        <v>1</v>
      </c>
    </row>
    <row r="5" spans="2:18" x14ac:dyDescent="0.35">
      <c r="B5" s="12" t="s">
        <v>21</v>
      </c>
      <c r="C5" s="13">
        <v>2107960</v>
      </c>
      <c r="Q5" s="12" t="s">
        <v>414</v>
      </c>
      <c r="R5">
        <v>1</v>
      </c>
    </row>
    <row r="6" spans="2:18" x14ac:dyDescent="0.35">
      <c r="B6" s="12" t="s">
        <v>67</v>
      </c>
      <c r="C6" s="13">
        <v>673940</v>
      </c>
      <c r="Q6" s="12" t="s">
        <v>395</v>
      </c>
      <c r="R6">
        <v>1</v>
      </c>
    </row>
    <row r="7" spans="2:18" x14ac:dyDescent="0.35">
      <c r="B7" s="12" t="s">
        <v>254</v>
      </c>
      <c r="C7" s="13">
        <v>543575</v>
      </c>
      <c r="Q7" s="12" t="s">
        <v>274</v>
      </c>
      <c r="R7">
        <v>1</v>
      </c>
    </row>
    <row r="8" spans="2:18" x14ac:dyDescent="0.35">
      <c r="B8" s="12" t="s">
        <v>160</v>
      </c>
      <c r="C8" s="13">
        <v>495250</v>
      </c>
      <c r="Q8" s="12" t="s">
        <v>235</v>
      </c>
      <c r="R8">
        <v>1</v>
      </c>
    </row>
    <row r="9" spans="2:18" x14ac:dyDescent="0.35">
      <c r="B9" s="12" t="s">
        <v>142</v>
      </c>
      <c r="C9" s="13">
        <v>325750</v>
      </c>
      <c r="Q9" s="12" t="s">
        <v>89</v>
      </c>
      <c r="R9">
        <v>1</v>
      </c>
    </row>
    <row r="10" spans="2:18" x14ac:dyDescent="0.35">
      <c r="B10" s="12" t="s">
        <v>489</v>
      </c>
      <c r="C10" s="13">
        <v>225850</v>
      </c>
      <c r="Q10" s="12" t="s">
        <v>117</v>
      </c>
      <c r="R10">
        <v>1</v>
      </c>
    </row>
    <row r="11" spans="2:18" x14ac:dyDescent="0.35">
      <c r="B11" s="12" t="s">
        <v>55</v>
      </c>
      <c r="C11" s="13">
        <v>216800</v>
      </c>
      <c r="Q11" s="12" t="s">
        <v>55</v>
      </c>
      <c r="R11">
        <v>1</v>
      </c>
    </row>
    <row r="12" spans="2:18" x14ac:dyDescent="0.35">
      <c r="B12" s="12" t="s">
        <v>314</v>
      </c>
      <c r="C12" s="13">
        <v>168400</v>
      </c>
      <c r="Q12" s="12" t="s">
        <v>421</v>
      </c>
      <c r="R12">
        <v>1</v>
      </c>
    </row>
    <row r="13" spans="2:18" x14ac:dyDescent="0.35">
      <c r="B13" s="12" t="s">
        <v>63</v>
      </c>
      <c r="C13" s="13">
        <v>153200</v>
      </c>
      <c r="Q13" s="12" t="s">
        <v>404</v>
      </c>
      <c r="R13">
        <v>1</v>
      </c>
    </row>
    <row r="14" spans="2:18" x14ac:dyDescent="0.35">
      <c r="B14" s="12" t="s">
        <v>404</v>
      </c>
      <c r="C14" s="13">
        <v>129620</v>
      </c>
      <c r="Q14" s="12" t="s">
        <v>336</v>
      </c>
      <c r="R14">
        <v>1</v>
      </c>
    </row>
    <row r="15" spans="2:18" x14ac:dyDescent="0.35">
      <c r="B15" s="12" t="s">
        <v>514</v>
      </c>
      <c r="C15" s="13">
        <v>5040345</v>
      </c>
      <c r="Q15" s="12" t="s">
        <v>451</v>
      </c>
      <c r="R15">
        <v>1</v>
      </c>
    </row>
    <row r="16" spans="2:18" x14ac:dyDescent="0.35">
      <c r="Q16" s="12" t="s">
        <v>434</v>
      </c>
      <c r="R16">
        <v>1</v>
      </c>
    </row>
    <row r="17" spans="17:18" x14ac:dyDescent="0.35">
      <c r="Q17" s="12" t="s">
        <v>334</v>
      </c>
      <c r="R17">
        <v>1</v>
      </c>
    </row>
    <row r="18" spans="17:18" x14ac:dyDescent="0.35">
      <c r="Q18" s="12" t="s">
        <v>466</v>
      </c>
      <c r="R18">
        <v>1</v>
      </c>
    </row>
    <row r="19" spans="17:18" x14ac:dyDescent="0.35">
      <c r="Q19" s="12" t="s">
        <v>314</v>
      </c>
      <c r="R19">
        <v>1</v>
      </c>
    </row>
    <row r="20" spans="17:18" x14ac:dyDescent="0.35">
      <c r="Q20" s="12" t="s">
        <v>205</v>
      </c>
      <c r="R20">
        <v>1</v>
      </c>
    </row>
    <row r="21" spans="17:18" x14ac:dyDescent="0.35">
      <c r="Q21" s="12" t="s">
        <v>477</v>
      </c>
      <c r="R21">
        <v>1</v>
      </c>
    </row>
    <row r="22" spans="17:18" x14ac:dyDescent="0.35">
      <c r="Q22" s="12" t="s">
        <v>346</v>
      </c>
      <c r="R22">
        <v>1</v>
      </c>
    </row>
    <row r="23" spans="17:18" x14ac:dyDescent="0.35">
      <c r="Q23" s="12" t="s">
        <v>324</v>
      </c>
      <c r="R23">
        <v>1</v>
      </c>
    </row>
    <row r="24" spans="17:18" x14ac:dyDescent="0.35">
      <c r="Q24" s="12" t="s">
        <v>175</v>
      </c>
      <c r="R24">
        <v>1</v>
      </c>
    </row>
    <row r="25" spans="17:18" x14ac:dyDescent="0.35">
      <c r="Q25" s="12" t="s">
        <v>489</v>
      </c>
      <c r="R25">
        <v>1</v>
      </c>
    </row>
    <row r="26" spans="17:18" x14ac:dyDescent="0.35">
      <c r="Q26" s="12" t="s">
        <v>271</v>
      </c>
      <c r="R26">
        <v>1</v>
      </c>
    </row>
    <row r="27" spans="17:18" x14ac:dyDescent="0.35">
      <c r="Q27" s="12" t="s">
        <v>60</v>
      </c>
      <c r="R27">
        <v>1</v>
      </c>
    </row>
    <row r="28" spans="17:18" x14ac:dyDescent="0.35">
      <c r="Q28" s="12" t="s">
        <v>125</v>
      </c>
      <c r="R28">
        <v>1</v>
      </c>
    </row>
    <row r="29" spans="17:18" x14ac:dyDescent="0.35">
      <c r="Q29" s="12" t="s">
        <v>442</v>
      </c>
      <c r="R29">
        <v>1</v>
      </c>
    </row>
    <row r="30" spans="17:18" x14ac:dyDescent="0.35">
      <c r="Q30" s="12" t="s">
        <v>339</v>
      </c>
      <c r="R30">
        <v>1</v>
      </c>
    </row>
    <row r="31" spans="17:18" x14ac:dyDescent="0.35">
      <c r="Q31" s="12" t="s">
        <v>351</v>
      </c>
      <c r="R31">
        <v>1</v>
      </c>
    </row>
    <row r="32" spans="17:18" x14ac:dyDescent="0.35">
      <c r="Q32" s="12" t="s">
        <v>279</v>
      </c>
      <c r="R32">
        <v>1</v>
      </c>
    </row>
    <row r="33" spans="17:18" x14ac:dyDescent="0.35">
      <c r="Q33" s="12" t="s">
        <v>58</v>
      </c>
      <c r="R33">
        <v>1</v>
      </c>
    </row>
    <row r="34" spans="17:18" x14ac:dyDescent="0.35">
      <c r="Q34" s="12" t="s">
        <v>409</v>
      </c>
      <c r="R34">
        <v>1</v>
      </c>
    </row>
    <row r="35" spans="17:18" x14ac:dyDescent="0.35">
      <c r="Q35" s="12" t="s">
        <v>330</v>
      </c>
      <c r="R35">
        <v>1</v>
      </c>
    </row>
    <row r="36" spans="17:18" x14ac:dyDescent="0.35">
      <c r="Q36" s="12" t="s">
        <v>318</v>
      </c>
      <c r="R36">
        <v>1</v>
      </c>
    </row>
    <row r="37" spans="17:18" x14ac:dyDescent="0.35">
      <c r="Q37" s="12" t="s">
        <v>506</v>
      </c>
      <c r="R37">
        <v>1</v>
      </c>
    </row>
    <row r="38" spans="17:18" x14ac:dyDescent="0.35">
      <c r="Q38" s="12" t="s">
        <v>225</v>
      </c>
      <c r="R38">
        <v>1</v>
      </c>
    </row>
    <row r="39" spans="17:18" x14ac:dyDescent="0.35">
      <c r="Q39" s="12" t="s">
        <v>440</v>
      </c>
      <c r="R39">
        <v>1</v>
      </c>
    </row>
    <row r="40" spans="17:18" x14ac:dyDescent="0.35">
      <c r="Q40" s="12" t="s">
        <v>428</v>
      </c>
      <c r="R40">
        <v>1</v>
      </c>
    </row>
    <row r="41" spans="17:18" x14ac:dyDescent="0.35">
      <c r="Q41" s="12" t="s">
        <v>509</v>
      </c>
      <c r="R41">
        <v>1</v>
      </c>
    </row>
    <row r="42" spans="17:18" x14ac:dyDescent="0.35">
      <c r="Q42" s="12" t="s">
        <v>142</v>
      </c>
      <c r="R42">
        <v>1</v>
      </c>
    </row>
    <row r="43" spans="17:18" x14ac:dyDescent="0.35">
      <c r="Q43" s="12" t="s">
        <v>388</v>
      </c>
      <c r="R43">
        <v>1</v>
      </c>
    </row>
    <row r="44" spans="17:18" x14ac:dyDescent="0.35">
      <c r="Q44" s="12" t="s">
        <v>63</v>
      </c>
      <c r="R44">
        <v>1</v>
      </c>
    </row>
    <row r="45" spans="17:18" x14ac:dyDescent="0.35">
      <c r="Q45" s="12" t="s">
        <v>254</v>
      </c>
      <c r="R45">
        <v>1</v>
      </c>
    </row>
    <row r="46" spans="17:18" x14ac:dyDescent="0.35">
      <c r="Q46" s="12" t="s">
        <v>474</v>
      </c>
      <c r="R46">
        <v>1</v>
      </c>
    </row>
    <row r="47" spans="17:18" x14ac:dyDescent="0.35">
      <c r="Q47" s="12" t="s">
        <v>72</v>
      </c>
      <c r="R47">
        <v>1</v>
      </c>
    </row>
    <row r="48" spans="17:18" x14ac:dyDescent="0.35">
      <c r="Q48" s="12" t="s">
        <v>348</v>
      </c>
      <c r="R48">
        <v>1</v>
      </c>
    </row>
    <row r="49" spans="17:18" x14ac:dyDescent="0.35">
      <c r="Q49" s="12" t="s">
        <v>445</v>
      </c>
      <c r="R49">
        <v>1</v>
      </c>
    </row>
    <row r="50" spans="17:18" x14ac:dyDescent="0.35">
      <c r="Q50" s="12" t="s">
        <v>264</v>
      </c>
      <c r="R50">
        <v>1</v>
      </c>
    </row>
    <row r="51" spans="17:18" x14ac:dyDescent="0.35">
      <c r="Q51" s="12" t="s">
        <v>402</v>
      </c>
      <c r="R51">
        <v>1</v>
      </c>
    </row>
    <row r="52" spans="17:18" x14ac:dyDescent="0.35">
      <c r="Q52" s="12" t="s">
        <v>38</v>
      </c>
      <c r="R52">
        <v>1</v>
      </c>
    </row>
    <row r="53" spans="17:18" x14ac:dyDescent="0.35">
      <c r="Q53" s="12" t="s">
        <v>104</v>
      </c>
      <c r="R53">
        <v>1</v>
      </c>
    </row>
    <row r="54" spans="17:18" x14ac:dyDescent="0.35">
      <c r="Q54" s="12" t="s">
        <v>412</v>
      </c>
      <c r="R54">
        <v>1</v>
      </c>
    </row>
    <row r="55" spans="17:18" x14ac:dyDescent="0.35">
      <c r="Q55" s="12" t="s">
        <v>83</v>
      </c>
      <c r="R55">
        <v>1</v>
      </c>
    </row>
    <row r="56" spans="17:18" x14ac:dyDescent="0.35">
      <c r="Q56" s="12" t="s">
        <v>362</v>
      </c>
      <c r="R56">
        <v>1</v>
      </c>
    </row>
    <row r="57" spans="17:18" x14ac:dyDescent="0.35">
      <c r="Q57" s="12" t="s">
        <v>181</v>
      </c>
      <c r="R57">
        <v>1</v>
      </c>
    </row>
    <row r="58" spans="17:18" x14ac:dyDescent="0.35">
      <c r="Q58" s="12" t="s">
        <v>76</v>
      </c>
      <c r="R58">
        <v>1</v>
      </c>
    </row>
    <row r="59" spans="17:18" x14ac:dyDescent="0.35">
      <c r="Q59" s="12" t="s">
        <v>493</v>
      </c>
      <c r="R59">
        <v>1</v>
      </c>
    </row>
    <row r="60" spans="17:18" x14ac:dyDescent="0.35">
      <c r="Q60" s="12" t="s">
        <v>312</v>
      </c>
      <c r="R60">
        <v>1</v>
      </c>
    </row>
    <row r="61" spans="17:18" x14ac:dyDescent="0.35">
      <c r="Q61" s="12" t="s">
        <v>148</v>
      </c>
      <c r="R61">
        <v>1</v>
      </c>
    </row>
    <row r="62" spans="17:18" x14ac:dyDescent="0.35">
      <c r="Q62" s="12" t="s">
        <v>431</v>
      </c>
      <c r="R62">
        <v>1</v>
      </c>
    </row>
    <row r="63" spans="17:18" x14ac:dyDescent="0.35">
      <c r="Q63" s="12" t="s">
        <v>304</v>
      </c>
      <c r="R63">
        <v>1</v>
      </c>
    </row>
    <row r="64" spans="17:18" x14ac:dyDescent="0.35">
      <c r="Q64" s="12" t="s">
        <v>184</v>
      </c>
      <c r="R64">
        <v>1</v>
      </c>
    </row>
    <row r="65" spans="17:18" x14ac:dyDescent="0.35">
      <c r="Q65" s="12" t="s">
        <v>160</v>
      </c>
      <c r="R65">
        <v>1</v>
      </c>
    </row>
    <row r="66" spans="17:18" x14ac:dyDescent="0.35">
      <c r="Q66" s="12" t="s">
        <v>378</v>
      </c>
      <c r="R66">
        <v>1</v>
      </c>
    </row>
    <row r="67" spans="17:18" x14ac:dyDescent="0.35">
      <c r="Q67" s="12" t="s">
        <v>425</v>
      </c>
      <c r="R67">
        <v>1</v>
      </c>
    </row>
    <row r="68" spans="17:18" x14ac:dyDescent="0.35">
      <c r="Q68" s="12" t="s">
        <v>133</v>
      </c>
      <c r="R68">
        <v>1</v>
      </c>
    </row>
    <row r="69" spans="17:18" x14ac:dyDescent="0.35">
      <c r="Q69" s="12" t="s">
        <v>462</v>
      </c>
      <c r="R69">
        <v>1</v>
      </c>
    </row>
    <row r="70" spans="17:18" x14ac:dyDescent="0.35">
      <c r="Q70" s="12" t="s">
        <v>237</v>
      </c>
      <c r="R70">
        <v>1</v>
      </c>
    </row>
    <row r="71" spans="17:18" x14ac:dyDescent="0.35">
      <c r="Q71" s="12" t="s">
        <v>34</v>
      </c>
      <c r="R71">
        <v>1</v>
      </c>
    </row>
    <row r="72" spans="17:18" x14ac:dyDescent="0.35">
      <c r="Q72" s="12" t="s">
        <v>423</v>
      </c>
      <c r="R72">
        <v>1</v>
      </c>
    </row>
    <row r="73" spans="17:18" x14ac:dyDescent="0.35">
      <c r="Q73" s="12" t="s">
        <v>484</v>
      </c>
      <c r="R73">
        <v>1</v>
      </c>
    </row>
    <row r="74" spans="17:18" x14ac:dyDescent="0.35">
      <c r="Q74" s="12" t="s">
        <v>309</v>
      </c>
      <c r="R74">
        <v>1</v>
      </c>
    </row>
    <row r="75" spans="17:18" x14ac:dyDescent="0.35">
      <c r="Q75" s="12" t="s">
        <v>376</v>
      </c>
      <c r="R75">
        <v>1</v>
      </c>
    </row>
    <row r="76" spans="17:18" x14ac:dyDescent="0.35">
      <c r="Q76" s="12" t="s">
        <v>93</v>
      </c>
      <c r="R76">
        <v>1</v>
      </c>
    </row>
    <row r="77" spans="17:18" x14ac:dyDescent="0.35">
      <c r="Q77" s="12" t="s">
        <v>369</v>
      </c>
      <c r="R77">
        <v>1</v>
      </c>
    </row>
    <row r="78" spans="17:18" x14ac:dyDescent="0.35">
      <c r="Q78" s="12" t="s">
        <v>198</v>
      </c>
      <c r="R78">
        <v>1</v>
      </c>
    </row>
    <row r="79" spans="17:18" x14ac:dyDescent="0.35">
      <c r="Q79" s="12" t="s">
        <v>138</v>
      </c>
      <c r="R79">
        <v>1</v>
      </c>
    </row>
    <row r="80" spans="17:18" x14ac:dyDescent="0.35">
      <c r="Q80" s="12" t="s">
        <v>373</v>
      </c>
      <c r="R80">
        <v>1</v>
      </c>
    </row>
    <row r="81" spans="17:18" x14ac:dyDescent="0.35">
      <c r="Q81" s="12" t="s">
        <v>135</v>
      </c>
      <c r="R81">
        <v>1</v>
      </c>
    </row>
    <row r="82" spans="17:18" x14ac:dyDescent="0.35">
      <c r="Q82" s="12" t="s">
        <v>437</v>
      </c>
      <c r="R82">
        <v>1</v>
      </c>
    </row>
    <row r="83" spans="17:18" x14ac:dyDescent="0.35">
      <c r="Q83" s="12" t="s">
        <v>261</v>
      </c>
      <c r="R83">
        <v>1</v>
      </c>
    </row>
    <row r="84" spans="17:18" x14ac:dyDescent="0.35">
      <c r="Q84" s="12" t="s">
        <v>512</v>
      </c>
      <c r="R84">
        <v>1</v>
      </c>
    </row>
    <row r="85" spans="17:18" x14ac:dyDescent="0.35">
      <c r="Q85" s="12" t="s">
        <v>21</v>
      </c>
      <c r="R85">
        <v>1</v>
      </c>
    </row>
    <row r="86" spans="17:18" x14ac:dyDescent="0.35">
      <c r="Q86" s="12" t="s">
        <v>386</v>
      </c>
      <c r="R86">
        <v>1</v>
      </c>
    </row>
    <row r="87" spans="17:18" x14ac:dyDescent="0.35">
      <c r="Q87" s="12" t="s">
        <v>230</v>
      </c>
      <c r="R87">
        <v>1</v>
      </c>
    </row>
    <row r="88" spans="17:18" x14ac:dyDescent="0.35">
      <c r="Q88" s="12" t="s">
        <v>232</v>
      </c>
      <c r="R88">
        <v>1</v>
      </c>
    </row>
    <row r="89" spans="17:18" x14ac:dyDescent="0.35">
      <c r="Q89" s="12" t="s">
        <v>400</v>
      </c>
      <c r="R89">
        <v>1</v>
      </c>
    </row>
    <row r="90" spans="17:18" x14ac:dyDescent="0.35">
      <c r="Q90" s="12" t="s">
        <v>144</v>
      </c>
      <c r="R90">
        <v>1</v>
      </c>
    </row>
    <row r="91" spans="17:18" x14ac:dyDescent="0.35">
      <c r="Q91" s="12" t="s">
        <v>99</v>
      </c>
      <c r="R91">
        <v>1</v>
      </c>
    </row>
    <row r="92" spans="17:18" x14ac:dyDescent="0.35">
      <c r="Q92" s="12" t="s">
        <v>398</v>
      </c>
      <c r="R92">
        <v>1</v>
      </c>
    </row>
    <row r="93" spans="17:18" x14ac:dyDescent="0.35">
      <c r="Q93" s="12" t="s">
        <v>67</v>
      </c>
      <c r="R93">
        <v>1</v>
      </c>
    </row>
    <row r="94" spans="17:18" x14ac:dyDescent="0.35">
      <c r="Q94" s="12" t="s">
        <v>393</v>
      </c>
      <c r="R94">
        <v>1</v>
      </c>
    </row>
    <row r="95" spans="17:18" x14ac:dyDescent="0.35">
      <c r="Q95" s="12" t="s">
        <v>456</v>
      </c>
      <c r="R95">
        <v>1</v>
      </c>
    </row>
    <row r="96" spans="17:18" x14ac:dyDescent="0.35">
      <c r="Q96" s="12" t="s">
        <v>406</v>
      </c>
      <c r="R96">
        <v>1</v>
      </c>
    </row>
    <row r="97" spans="17:18" x14ac:dyDescent="0.35">
      <c r="Q97" s="12" t="s">
        <v>487</v>
      </c>
      <c r="R97">
        <v>1</v>
      </c>
    </row>
    <row r="98" spans="17:18" x14ac:dyDescent="0.35">
      <c r="Q98" s="12" t="s">
        <v>120</v>
      </c>
      <c r="R98">
        <v>1</v>
      </c>
    </row>
    <row r="99" spans="17:18" x14ac:dyDescent="0.35">
      <c r="Q99" s="12" t="s">
        <v>511</v>
      </c>
      <c r="R99">
        <v>1</v>
      </c>
    </row>
    <row r="100" spans="17:18" x14ac:dyDescent="0.35">
      <c r="Q100" s="12" t="s">
        <v>482</v>
      </c>
      <c r="R100">
        <v>1</v>
      </c>
    </row>
    <row r="101" spans="17:18" x14ac:dyDescent="0.35">
      <c r="Q101" s="12" t="s">
        <v>122</v>
      </c>
      <c r="R101">
        <v>1</v>
      </c>
    </row>
    <row r="102" spans="17:18" x14ac:dyDescent="0.35">
      <c r="Q102" s="12" t="s">
        <v>79</v>
      </c>
      <c r="R102">
        <v>1</v>
      </c>
    </row>
    <row r="103" spans="17:18" x14ac:dyDescent="0.35">
      <c r="Q103" s="12" t="s">
        <v>500</v>
      </c>
      <c r="R103">
        <v>1</v>
      </c>
    </row>
    <row r="104" spans="17:18" x14ac:dyDescent="0.35">
      <c r="Q104" s="12" t="s">
        <v>480</v>
      </c>
      <c r="R104">
        <v>1</v>
      </c>
    </row>
    <row r="105" spans="17:18" x14ac:dyDescent="0.35">
      <c r="Q105" s="12" t="s">
        <v>209</v>
      </c>
      <c r="R105">
        <v>1</v>
      </c>
    </row>
    <row r="106" spans="17:18" x14ac:dyDescent="0.35">
      <c r="Q106" s="12" t="s">
        <v>96</v>
      </c>
      <c r="R106">
        <v>1</v>
      </c>
    </row>
    <row r="107" spans="17:18" x14ac:dyDescent="0.35">
      <c r="Q107" s="12" t="s">
        <v>227</v>
      </c>
      <c r="R107">
        <v>1</v>
      </c>
    </row>
    <row r="108" spans="17:18" x14ac:dyDescent="0.35">
      <c r="Q108" s="12" t="s">
        <v>514</v>
      </c>
      <c r="R108">
        <v>104</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C006C-43C9-4C32-91F5-8FAC753D6D16}">
  <dimension ref="B1:C8"/>
  <sheetViews>
    <sheetView workbookViewId="0"/>
  </sheetViews>
  <sheetFormatPr defaultRowHeight="14.5" x14ac:dyDescent="0.35"/>
  <cols>
    <col min="1" max="2" width="12.453125" bestFit="1" customWidth="1"/>
    <col min="3" max="3" width="11.54296875" bestFit="1" customWidth="1"/>
  </cols>
  <sheetData>
    <row r="1" spans="2:3" ht="33" customHeight="1" x14ac:dyDescent="0.35">
      <c r="B1" s="14" t="s">
        <v>19</v>
      </c>
      <c r="C1" s="14"/>
    </row>
    <row r="4" spans="2:3" x14ac:dyDescent="0.35">
      <c r="B4" s="11" t="s">
        <v>513</v>
      </c>
      <c r="C4" t="s">
        <v>527</v>
      </c>
    </row>
    <row r="5" spans="2:3" x14ac:dyDescent="0.35">
      <c r="B5" s="12" t="s">
        <v>30</v>
      </c>
      <c r="C5" s="13">
        <v>3879192.5</v>
      </c>
    </row>
    <row r="6" spans="2:3" x14ac:dyDescent="0.35">
      <c r="B6" s="12" t="s">
        <v>65</v>
      </c>
      <c r="C6" s="13">
        <v>1387212</v>
      </c>
    </row>
    <row r="7" spans="2:3" x14ac:dyDescent="0.35">
      <c r="B7" s="12" t="s">
        <v>36</v>
      </c>
      <c r="C7" s="13">
        <v>2818300</v>
      </c>
    </row>
    <row r="8" spans="2:3" x14ac:dyDescent="0.35">
      <c r="B8" s="12" t="s">
        <v>514</v>
      </c>
      <c r="C8" s="13">
        <v>8084704.5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B885-BEC4-4031-BFF7-86AA8B920D06}">
  <dimension ref="A1"/>
  <sheetViews>
    <sheetView zoomScaleNormal="100"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Rawdata</vt:lpstr>
      <vt:lpstr>workedsheet</vt:lpstr>
      <vt:lpstr>DASHBOARD</vt:lpstr>
      <vt:lpstr>Chart1</vt:lpstr>
      <vt:lpstr>Chart2</vt:lpstr>
      <vt:lpstr>Chart3</vt:lpstr>
      <vt:lpstr>Chart4</vt:lpstr>
      <vt:lpstr>Chart6</vt:lpstr>
      <vt:lpstr>Chart5</vt:lpstr>
      <vt:lpstr>Chart7</vt:lpstr>
      <vt:lpstr>BOARDREVIEW</vt:lpstr>
      <vt:lpstr>customers</vt:lpstr>
      <vt:lpstr>order</vt:lpstr>
      <vt:lpstr>productcount</vt:lpstr>
      <vt:lpstr>qty</vt:lpstr>
      <vt:lpstr>qtysold</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HANNAH OLANIYI</dc:creator>
  <cp:lastModifiedBy>HANNAH OLANIYI</cp:lastModifiedBy>
  <dcterms:created xsi:type="dcterms:W3CDTF">2026-06-25T20:58:20Z</dcterms:created>
  <dcterms:modified xsi:type="dcterms:W3CDTF">2026-07-01T12:20:00Z</dcterms:modified>
</cp:coreProperties>
</file>